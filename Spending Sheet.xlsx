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arvin\Desktop\"/>
    </mc:Choice>
  </mc:AlternateContent>
  <xr:revisionPtr revIDLastSave="0" documentId="13_ncr:1_{31F76D2C-32BE-4EAB-9260-8E2F84DDF4E0}" xr6:coauthVersionLast="34" xr6:coauthVersionMax="34" xr10:uidLastSave="{00000000-0000-0000-0000-000000000000}"/>
  <bookViews>
    <workbookView xWindow="0" yWindow="0" windowWidth="16815" windowHeight="8115" xr2:uid="{88E58E56-46CB-4D67-A18C-56767948C7F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82" i="1" l="1"/>
  <c r="L524" i="1" l="1"/>
  <c r="L462" i="1"/>
  <c r="L411" i="1" l="1"/>
  <c r="K525" i="1" l="1"/>
  <c r="L338" i="1" l="1"/>
  <c r="L293" i="1" l="1"/>
  <c r="P6" i="1" l="1"/>
  <c r="L13" i="1" l="1"/>
  <c r="L257" i="1"/>
  <c r="L231" i="1"/>
  <c r="L204" i="1"/>
  <c r="L184" i="1"/>
  <c r="L139" i="1"/>
  <c r="L84" i="1"/>
  <c r="L43" i="1"/>
  <c r="L11" i="1"/>
  <c r="L10" i="1"/>
  <c r="M11" i="1" l="1"/>
  <c r="L12" i="1"/>
  <c r="L525" i="1" s="1"/>
  <c r="L412" i="1" l="1"/>
  <c r="L463" i="1"/>
  <c r="L85" i="1"/>
  <c r="L339" i="1"/>
  <c r="L294" i="1"/>
  <c r="L258" i="1"/>
  <c r="L185" i="1"/>
  <c r="L140" i="1"/>
  <c r="L205" i="1"/>
  <c r="L232" i="1"/>
  <c r="L44" i="1"/>
  <c r="B582" i="1"/>
  <c r="M525" i="1" l="1"/>
  <c r="L7" i="1"/>
  <c r="L6" i="1"/>
  <c r="L15" i="1"/>
  <c r="L16" i="1" s="1"/>
  <c r="L8" i="1"/>
  <c r="L4" i="1"/>
  <c r="L17" i="1" l="1"/>
  <c r="M10" i="1"/>
  <c r="L1" i="1" l="1"/>
  <c r="L5" i="1" l="1"/>
  <c r="L3" i="1" l="1"/>
  <c r="L2" i="1"/>
  <c r="I3" i="1" l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M6" i="1" l="1"/>
  <c r="M7" i="1"/>
  <c r="M12" i="1"/>
  <c r="N12" i="1" s="1"/>
  <c r="M8" i="1"/>
  <c r="M5" i="1"/>
  <c r="M4" i="1"/>
  <c r="M1" i="1"/>
  <c r="M2" i="1"/>
  <c r="M3" i="1"/>
  <c r="N8" i="1" l="1"/>
</calcChain>
</file>

<file path=xl/sharedStrings.xml><?xml version="1.0" encoding="utf-8"?>
<sst xmlns="http://schemas.openxmlformats.org/spreadsheetml/2006/main" count="1697" uniqueCount="579">
  <si>
    <t>Date</t>
  </si>
  <si>
    <t>Expenditure</t>
  </si>
  <si>
    <t>Income</t>
  </si>
  <si>
    <t>Item</t>
  </si>
  <si>
    <t>WatCard Balance</t>
  </si>
  <si>
    <t>TopHat for SYDE262</t>
  </si>
  <si>
    <t>Pita Factory</t>
  </si>
  <si>
    <t>Valumart</t>
  </si>
  <si>
    <t>Location</t>
  </si>
  <si>
    <t>Columbia Ice Fields</t>
  </si>
  <si>
    <t>Locker</t>
  </si>
  <si>
    <t>Online</t>
  </si>
  <si>
    <t>Student Life Centre</t>
  </si>
  <si>
    <t>Pasta</t>
  </si>
  <si>
    <t>Falafel Pita</t>
  </si>
  <si>
    <t>William's</t>
  </si>
  <si>
    <t>Nutella Croissant</t>
  </si>
  <si>
    <t>Groceries</t>
  </si>
  <si>
    <t>LCBO</t>
  </si>
  <si>
    <t>Red Wine</t>
  </si>
  <si>
    <t>McDonald's</t>
  </si>
  <si>
    <t>Hash and Fries</t>
  </si>
  <si>
    <t>AAA Batteries</t>
  </si>
  <si>
    <t>Gas Station</t>
  </si>
  <si>
    <t>SCH Tim Hortons</t>
  </si>
  <si>
    <t>Coffee and Donuts</t>
  </si>
  <si>
    <t>SCH Bookstore</t>
  </si>
  <si>
    <t>292 Manual</t>
  </si>
  <si>
    <t>London Fog and Brownie</t>
  </si>
  <si>
    <t>DC Tim Hortons</t>
  </si>
  <si>
    <t>East Side Mario's</t>
  </si>
  <si>
    <t>Sangria</t>
  </si>
  <si>
    <t>SLC Booster Juice</t>
  </si>
  <si>
    <t>Smoothie</t>
  </si>
  <si>
    <t>debit</t>
  </si>
  <si>
    <t>Subway</t>
  </si>
  <si>
    <t>Veggie 6 inch</t>
  </si>
  <si>
    <t>Volleyball and Ultimate</t>
  </si>
  <si>
    <t>*eTransfer to Amelia</t>
  </si>
  <si>
    <t>King and Uni 7/11</t>
  </si>
  <si>
    <t>Headphones</t>
  </si>
  <si>
    <t>Freshii</t>
  </si>
  <si>
    <t>Buddha's Satay</t>
  </si>
  <si>
    <t>Category</t>
  </si>
  <si>
    <t>School</t>
  </si>
  <si>
    <t>Food</t>
  </si>
  <si>
    <t>Misc</t>
  </si>
  <si>
    <t>Veggie Rice Box</t>
  </si>
  <si>
    <t>UWP NRB</t>
  </si>
  <si>
    <t>Booster Juice and Cookie</t>
  </si>
  <si>
    <t>Tim Horton's</t>
  </si>
  <si>
    <t>Chocolate Chip Muffin</t>
  </si>
  <si>
    <t>Iced Coffee</t>
  </si>
  <si>
    <t>Cultures</t>
  </si>
  <si>
    <t>Miami Bowl</t>
  </si>
  <si>
    <t>Danforth Music Hall</t>
  </si>
  <si>
    <t>Oh Wonder Hat</t>
  </si>
  <si>
    <t>Orange Juice</t>
  </si>
  <si>
    <t>Build-your-own Pizza</t>
  </si>
  <si>
    <t>Asian Bakery</t>
  </si>
  <si>
    <t>Danish and Croissant</t>
  </si>
  <si>
    <t>DC</t>
  </si>
  <si>
    <t>Soup and Quiche</t>
  </si>
  <si>
    <t>Sobeys</t>
  </si>
  <si>
    <t>Cash back for laundry</t>
  </si>
  <si>
    <t>Mediterranean Bowl</t>
  </si>
  <si>
    <t>Remaining Balance</t>
  </si>
  <si>
    <t>Sharetea</t>
  </si>
  <si>
    <t>Oolong Honey Milk Tea</t>
  </si>
  <si>
    <t>DC Tim Horton's</t>
  </si>
  <si>
    <t>Bagel and Coffee</t>
  </si>
  <si>
    <t>Shawerma</t>
  </si>
  <si>
    <t>Falafel Plate</t>
  </si>
  <si>
    <t>Spicy Black Bean Pita</t>
  </si>
  <si>
    <t>OSAP</t>
  </si>
  <si>
    <t>Soup and Croissant</t>
  </si>
  <si>
    <t>Rent</t>
  </si>
  <si>
    <t>Tutoring</t>
  </si>
  <si>
    <t>Bao</t>
  </si>
  <si>
    <t>Combo</t>
  </si>
  <si>
    <t>Coffee and Croissant</t>
  </si>
  <si>
    <t>Coffee and Cookie</t>
  </si>
  <si>
    <t>GST</t>
  </si>
  <si>
    <t>Expense #</t>
  </si>
  <si>
    <t>Stella and Jose Cuervo</t>
  </si>
  <si>
    <t>Get Drunk With Me!!</t>
  </si>
  <si>
    <t>K&amp;B</t>
  </si>
  <si>
    <t>Chich's AA Crew</t>
  </si>
  <si>
    <t>Booster Juice</t>
  </si>
  <si>
    <t>Patricia's Birthday Present</t>
  </si>
  <si>
    <t>*eTransfer to Anne</t>
  </si>
  <si>
    <t>Mel's</t>
  </si>
  <si>
    <t>Brunch</t>
  </si>
  <si>
    <t>Cobb Salad and Coffee</t>
  </si>
  <si>
    <t>Mikey's Eatery</t>
  </si>
  <si>
    <t>Noodles and Tofu</t>
  </si>
  <si>
    <t>Balzac's</t>
  </si>
  <si>
    <t>Coffee</t>
  </si>
  <si>
    <t>Loafs and Tarts</t>
  </si>
  <si>
    <t>3 Teas</t>
  </si>
  <si>
    <t>Class Swag</t>
  </si>
  <si>
    <t>*eTransfer from Alex Glover</t>
  </si>
  <si>
    <t>*eTransfer to Bianca</t>
  </si>
  <si>
    <t>40 x 8 orders</t>
  </si>
  <si>
    <t>Got 40 x 5 = 200 in cash</t>
  </si>
  <si>
    <t>Presto</t>
  </si>
  <si>
    <t>Nuri Village</t>
  </si>
  <si>
    <t>Seafood Yaki Udon</t>
  </si>
  <si>
    <t>Bamboo Bowl</t>
  </si>
  <si>
    <t>1 order for yourself</t>
  </si>
  <si>
    <t>1 order for Glover</t>
  </si>
  <si>
    <t>Iris, Hayes, and myself</t>
  </si>
  <si>
    <t>1 order for Dom</t>
  </si>
  <si>
    <t>1 order for Revanth</t>
  </si>
  <si>
    <t>cash</t>
  </si>
  <si>
    <t>eTransfer</t>
  </si>
  <si>
    <t>Falafel on the Rocks</t>
  </si>
  <si>
    <t>Lazeez</t>
  </si>
  <si>
    <t>Drinks and food</t>
  </si>
  <si>
    <t>Pub on King</t>
  </si>
  <si>
    <t>Huether Hotel</t>
  </si>
  <si>
    <t>Drinks and pool table</t>
  </si>
  <si>
    <t>Ken's Sushi</t>
  </si>
  <si>
    <t>Tofu bento box</t>
  </si>
  <si>
    <t>Veggie sub</t>
  </si>
  <si>
    <t>Coffee and cookie</t>
  </si>
  <si>
    <t>WriteStuff</t>
  </si>
  <si>
    <t>Cue cards and case</t>
  </si>
  <si>
    <t>Oolong Tea Creama</t>
  </si>
  <si>
    <t>EIT</t>
  </si>
  <si>
    <t>Tortellini soup</t>
  </si>
  <si>
    <t>Parents' anniversary</t>
  </si>
  <si>
    <t>*eTransfer from Elaine</t>
  </si>
  <si>
    <t>Gave her 180 in cash</t>
  </si>
  <si>
    <t>KTV 108.73</t>
  </si>
  <si>
    <t>Scaddaush 156.11</t>
  </si>
  <si>
    <t>Total 264.84</t>
  </si>
  <si>
    <t>Split 88.28</t>
  </si>
  <si>
    <t>180 - 88 = 92</t>
  </si>
  <si>
    <t>URA first installment</t>
  </si>
  <si>
    <t>Savings account</t>
  </si>
  <si>
    <t>RBC</t>
  </si>
  <si>
    <t>ATM</t>
  </si>
  <si>
    <t>*eTransfer from Hayes</t>
  </si>
  <si>
    <t>Cash exchange</t>
  </si>
  <si>
    <t>Rice and tofu</t>
  </si>
  <si>
    <t>SLC Tim Hortons</t>
  </si>
  <si>
    <t>Coffee and Donut</t>
  </si>
  <si>
    <t>EoT Concert Tickets</t>
  </si>
  <si>
    <t>Falafel Sandwich</t>
  </si>
  <si>
    <t>Science Teaching Centre</t>
  </si>
  <si>
    <t>Starbucks</t>
  </si>
  <si>
    <t>Erasers</t>
  </si>
  <si>
    <t>Tims</t>
  </si>
  <si>
    <t>MC C&amp;D</t>
  </si>
  <si>
    <t>Samosas</t>
  </si>
  <si>
    <t>Health Care Opt Out</t>
  </si>
  <si>
    <t>Flat White</t>
  </si>
  <si>
    <t>STC Starbucks</t>
  </si>
  <si>
    <t>Flat White and Madeleines</t>
  </si>
  <si>
    <t>Seoul Soul</t>
  </si>
  <si>
    <t>Japchae and Kimchi Jeon</t>
  </si>
  <si>
    <t>Veggie Sub</t>
  </si>
  <si>
    <t>CPH C&amp;D</t>
  </si>
  <si>
    <t>Baba Grill</t>
  </si>
  <si>
    <t>Tofu and Veggie Rice</t>
  </si>
  <si>
    <t>Veggie flatbread</t>
  </si>
  <si>
    <t>Coffee and Samosas</t>
  </si>
  <si>
    <t>Sweetdreams</t>
  </si>
  <si>
    <t>Chocolate Lava Cake</t>
  </si>
  <si>
    <t>Jasmine Bubble Tea</t>
  </si>
  <si>
    <t>CoCo</t>
  </si>
  <si>
    <t>Grace's Dumplings</t>
  </si>
  <si>
    <t>Dumplings with Iris</t>
  </si>
  <si>
    <t>Salad, wedges, croissant</t>
  </si>
  <si>
    <t>Matcha Milk Tea</t>
  </si>
  <si>
    <t>CampusTech</t>
  </si>
  <si>
    <t>Brazilian Thunder</t>
  </si>
  <si>
    <t>Croissant</t>
  </si>
  <si>
    <t>Pitcher</t>
  </si>
  <si>
    <t>Petro Canada</t>
  </si>
  <si>
    <t>Air freshener and M&amp;Ms</t>
  </si>
  <si>
    <t>Salad and Croissant</t>
  </si>
  <si>
    <t>Foodie Fruitie</t>
  </si>
  <si>
    <t>Black Dragon Roll</t>
  </si>
  <si>
    <t>Sowon</t>
  </si>
  <si>
    <t>Kimchi Fried Rice</t>
  </si>
  <si>
    <t>Burger King</t>
  </si>
  <si>
    <t>Large Fries</t>
  </si>
  <si>
    <t>3 Foot longs</t>
  </si>
  <si>
    <t>SLC</t>
  </si>
  <si>
    <t>CIBC ATM</t>
  </si>
  <si>
    <t>Uber</t>
  </si>
  <si>
    <t>To Sean's</t>
  </si>
  <si>
    <t>International News</t>
  </si>
  <si>
    <t>Egg Butter Croissant</t>
  </si>
  <si>
    <t>To Rohan's</t>
  </si>
  <si>
    <t>Wedges and Coffees</t>
  </si>
  <si>
    <t>3 Samosas</t>
  </si>
  <si>
    <t>Juice and Banana Bread</t>
  </si>
  <si>
    <t>Medium Dark Roast</t>
  </si>
  <si>
    <t>Muffin and Chips</t>
  </si>
  <si>
    <t>Pure Grit Climbing</t>
  </si>
  <si>
    <t>Custom Chalk Bag</t>
  </si>
  <si>
    <t>Wines and Vodka</t>
  </si>
  <si>
    <t>Two Croissants</t>
  </si>
  <si>
    <t>Mind Over Matcha</t>
  </si>
  <si>
    <t>Breakfast Burrito</t>
  </si>
  <si>
    <t>UW</t>
  </si>
  <si>
    <t>Asian Restaurant</t>
  </si>
  <si>
    <t>The Works</t>
  </si>
  <si>
    <t>Olive Oyl</t>
  </si>
  <si>
    <t>Party Supplies</t>
  </si>
  <si>
    <t>Ardene</t>
  </si>
  <si>
    <t>Socks</t>
  </si>
  <si>
    <t>Simons</t>
  </si>
  <si>
    <t>April - Satin Pillowcase</t>
  </si>
  <si>
    <t>Mom - Pillow</t>
  </si>
  <si>
    <t>Pandora</t>
  </si>
  <si>
    <t>Shannon - Anchor Charm</t>
  </si>
  <si>
    <t>Whole Foods</t>
  </si>
  <si>
    <t>Bean and Cheese Burrito</t>
  </si>
  <si>
    <t>Lunch w/ Elaine - climbing</t>
  </si>
  <si>
    <t>URA second installment</t>
  </si>
  <si>
    <t>Clarkson GO</t>
  </si>
  <si>
    <t>Debit Service Charge</t>
  </si>
  <si>
    <t>4 Beers</t>
  </si>
  <si>
    <t>*eTrasfer to Jeein</t>
  </si>
  <si>
    <t>Christmas Party Food</t>
  </si>
  <si>
    <t>Christmas Party Drinks</t>
  </si>
  <si>
    <t>*eTransfer to Victoria</t>
  </si>
  <si>
    <t>Sublease</t>
  </si>
  <si>
    <t>Namecheap</t>
  </si>
  <si>
    <t>Helping Jeff w/ his Sublet</t>
  </si>
  <si>
    <t>*eTransfer to Jeffrey</t>
  </si>
  <si>
    <t>Druxy's</t>
  </si>
  <si>
    <t>Danish and Cookie</t>
  </si>
  <si>
    <t>Xtremities</t>
  </si>
  <si>
    <t>Industrial replacements</t>
  </si>
  <si>
    <t>Ramen Isshin</t>
  </si>
  <si>
    <t>Ramen x3</t>
  </si>
  <si>
    <t>Ramen</t>
  </si>
  <si>
    <t>*eTransfer from Mudmee</t>
  </si>
  <si>
    <t>*eTransfer from Iris</t>
  </si>
  <si>
    <t>Sunnybrook</t>
  </si>
  <si>
    <t>Commute</t>
  </si>
  <si>
    <t>Swag</t>
  </si>
  <si>
    <t>Balance</t>
  </si>
  <si>
    <t>Total Inflow</t>
  </si>
  <si>
    <t>Net</t>
  </si>
  <si>
    <t>Income #</t>
  </si>
  <si>
    <t>Alcohol</t>
  </si>
  <si>
    <t>Presents</t>
  </si>
  <si>
    <t>Miku</t>
  </si>
  <si>
    <t>Winterlicious</t>
  </si>
  <si>
    <t>ASOS</t>
  </si>
  <si>
    <t>Clothes</t>
  </si>
  <si>
    <t>Oh Wonder Shirt</t>
  </si>
  <si>
    <t>Etsy</t>
  </si>
  <si>
    <t>Earring and Bar</t>
  </si>
  <si>
    <t>Sunnybrook Tim Hortons</t>
  </si>
  <si>
    <t>Donut and Cookie</t>
  </si>
  <si>
    <t>Blonde Flat White</t>
  </si>
  <si>
    <t>Café California</t>
  </si>
  <si>
    <t>Roasted Veggie Sandwich</t>
  </si>
  <si>
    <t>*eTransfer from Patty</t>
  </si>
  <si>
    <t>Zara</t>
  </si>
  <si>
    <t>Pants and Socks</t>
  </si>
  <si>
    <t>Amazon</t>
  </si>
  <si>
    <t>X Ambassadors</t>
  </si>
  <si>
    <t>JOYFUL Sweater</t>
  </si>
  <si>
    <t>Ryan's Birthday Present</t>
  </si>
  <si>
    <t>Ryan's Birthday Party</t>
  </si>
  <si>
    <t>*eTrasfer to Patricia</t>
  </si>
  <si>
    <t>*eTransfer to Ryan</t>
  </si>
  <si>
    <t>Apple Farm</t>
  </si>
  <si>
    <t>Pastries</t>
  </si>
  <si>
    <t>Cider</t>
  </si>
  <si>
    <t>Jack Astor's</t>
  </si>
  <si>
    <t>Burger and Mexican Salad</t>
  </si>
  <si>
    <t>Cacao70</t>
  </si>
  <si>
    <t>Omelet and Beans</t>
  </si>
  <si>
    <t>Panera</t>
  </si>
  <si>
    <t>Half Sandwich and Soup</t>
  </si>
  <si>
    <t>Level One</t>
  </si>
  <si>
    <t>Nachos and Boardgames</t>
  </si>
  <si>
    <t>Veggie Sub and Cookie</t>
  </si>
  <si>
    <t>ExtremePita</t>
  </si>
  <si>
    <t>Vegan Baguette</t>
  </si>
  <si>
    <t>Gas and Parking</t>
  </si>
  <si>
    <t>*eTransfer to Dominic</t>
  </si>
  <si>
    <t>Imagine Dragons Tickets</t>
  </si>
  <si>
    <t>Chop</t>
  </si>
  <si>
    <t>Dinner with Julia</t>
  </si>
  <si>
    <t>Ruby Thai</t>
  </si>
  <si>
    <t>Coconut Shrimp</t>
  </si>
  <si>
    <t>Iced Coffee and Brownie</t>
  </si>
  <si>
    <t>Union McCafe</t>
  </si>
  <si>
    <t>Boulderz</t>
  </si>
  <si>
    <t>Climbing</t>
  </si>
  <si>
    <t>Ink and Water</t>
  </si>
  <si>
    <t>Tattoo Deposit</t>
  </si>
  <si>
    <t>CN Tower Climb</t>
  </si>
  <si>
    <t>Ginger Restaurant</t>
  </si>
  <si>
    <t>Tofu Pho</t>
  </si>
  <si>
    <t>Macarons</t>
  </si>
  <si>
    <t>Butter Avenue</t>
  </si>
  <si>
    <t>Jeein's Birthday Present</t>
  </si>
  <si>
    <t>Parents' Winterlicious</t>
  </si>
  <si>
    <t>*eTransfer from Elliot</t>
  </si>
  <si>
    <t>PAI</t>
  </si>
  <si>
    <t>Tofu Pad Thai</t>
  </si>
  <si>
    <t>Aroma Express</t>
  </si>
  <si>
    <t>Canadiano and Cookie</t>
  </si>
  <si>
    <t>Ice Hotel</t>
  </si>
  <si>
    <t>Drinks</t>
  </si>
  <si>
    <t>EDEN</t>
  </si>
  <si>
    <t>*eTransfer to Shio</t>
  </si>
  <si>
    <t>Black Bean Wrap</t>
  </si>
  <si>
    <t>10 visit pass</t>
  </si>
  <si>
    <t>Big Apple</t>
  </si>
  <si>
    <t>WWF CN Tower Climb</t>
  </si>
  <si>
    <t>*eTransfer from Mom</t>
  </si>
  <si>
    <t>September 2017</t>
  </si>
  <si>
    <t>October 2017</t>
  </si>
  <si>
    <t>March 2018</t>
  </si>
  <si>
    <t>February 2018</t>
  </si>
  <si>
    <t>January 2018</t>
  </si>
  <si>
    <t>December 2017</t>
  </si>
  <si>
    <t>November 2017</t>
  </si>
  <si>
    <t>Taverna Mercatto</t>
  </si>
  <si>
    <t>Money from Aunty Lydia</t>
  </si>
  <si>
    <t>Waterloo Tuition</t>
  </si>
  <si>
    <t>Mom</t>
  </si>
  <si>
    <t>Tuition</t>
  </si>
  <si>
    <t>w/o above</t>
  </si>
  <si>
    <t>August 8</t>
  </si>
  <si>
    <t>AYCE with Seb</t>
  </si>
  <si>
    <t>Tattoo</t>
  </si>
  <si>
    <t>Septum</t>
  </si>
  <si>
    <t>Walmart</t>
  </si>
  <si>
    <t>Advil and Aveeno</t>
  </si>
  <si>
    <t>Chatters</t>
  </si>
  <si>
    <t>Joico Color Intensity Rose</t>
  </si>
  <si>
    <t>Steve Madden</t>
  </si>
  <si>
    <t>Slippers</t>
  </si>
  <si>
    <t>Chatime</t>
  </si>
  <si>
    <t>Bubble Tea</t>
  </si>
  <si>
    <t>SOMA</t>
  </si>
  <si>
    <t>Chocolate for the lab</t>
  </si>
  <si>
    <t>Snakes and Lattes</t>
  </si>
  <si>
    <t>Jeein and Vicky's bday</t>
  </si>
  <si>
    <t>Union</t>
  </si>
  <si>
    <t>Dinner with Patricia</t>
  </si>
  <si>
    <t>Warehouse</t>
  </si>
  <si>
    <t>April's Birthday Present</t>
  </si>
  <si>
    <t>Jeein and Vicky's Presents</t>
  </si>
  <si>
    <t>*eTransfer to Patricia</t>
  </si>
  <si>
    <t>Alena's Sweater</t>
  </si>
  <si>
    <t>2015-2016</t>
  </si>
  <si>
    <t>2016-2017</t>
  </si>
  <si>
    <t>2017-2018</t>
  </si>
  <si>
    <t>Shopping with the cousins</t>
  </si>
  <si>
    <t>Sugar Marmalade</t>
  </si>
  <si>
    <t>Rice cakes</t>
  </si>
  <si>
    <t>Milestone's</t>
  </si>
  <si>
    <t>Dinner with fam</t>
  </si>
  <si>
    <t>Falafel Wrap</t>
  </si>
  <si>
    <t>381 Manual</t>
  </si>
  <si>
    <t>Mini Eggs and Tape</t>
  </si>
  <si>
    <t>Settlement Co.</t>
  </si>
  <si>
    <t>Dinner with Alena</t>
  </si>
  <si>
    <t>RappelWear</t>
  </si>
  <si>
    <t>*eTransfer to Andrew</t>
  </si>
  <si>
    <t>Flat White and cookie</t>
  </si>
  <si>
    <t>Intramural Ultimate</t>
  </si>
  <si>
    <t>*eTransfer to Raveena</t>
  </si>
  <si>
    <t>Total Outflow</t>
  </si>
  <si>
    <t>Cupcake for Seb</t>
  </si>
  <si>
    <t>Intramural Volleyball</t>
  </si>
  <si>
    <t>Square One GO Terminal</t>
  </si>
  <si>
    <t>New Steel</t>
  </si>
  <si>
    <t>Jewellery</t>
  </si>
  <si>
    <t>Burrito Boyz</t>
  </si>
  <si>
    <t>Shoppers Drugmart</t>
  </si>
  <si>
    <t>Sculpting Paste</t>
  </si>
  <si>
    <t>Kenzo</t>
  </si>
  <si>
    <t>Yakisoba</t>
  </si>
  <si>
    <t>April 2018</t>
  </si>
  <si>
    <t>May 2018</t>
  </si>
  <si>
    <t>Abe Erb</t>
  </si>
  <si>
    <t>Cauliflower Wings</t>
  </si>
  <si>
    <t>Wine and Rum</t>
  </si>
  <si>
    <t>Fries</t>
  </si>
  <si>
    <t>Spotify</t>
  </si>
  <si>
    <t>*eTransfer to Ashley</t>
  </si>
  <si>
    <t>Desktop</t>
  </si>
  <si>
    <t>*eTransfer to Mom</t>
  </si>
  <si>
    <t>Cash back</t>
  </si>
  <si>
    <t>Roasted Milk Tea</t>
  </si>
  <si>
    <t>Veggie footlong</t>
  </si>
  <si>
    <t>Veggie Box and Coffee</t>
  </si>
  <si>
    <t>Asian Supermarket</t>
  </si>
  <si>
    <t>Molly Bloom's</t>
  </si>
  <si>
    <t>Beer and Onion Rings</t>
  </si>
  <si>
    <t>Soft Serve and Fries</t>
  </si>
  <si>
    <t>Black and White Cupcake</t>
  </si>
  <si>
    <t>Avocado and the Catch</t>
  </si>
  <si>
    <t>Deep Fried Bao Ice cream</t>
  </si>
  <si>
    <t>Croissant and Iced Coffee</t>
  </si>
  <si>
    <t>Deodorant</t>
  </si>
  <si>
    <t>New York Fries</t>
  </si>
  <si>
    <t>Veggie Poutine</t>
  </si>
  <si>
    <t>Sephora</t>
  </si>
  <si>
    <t>Taylor's Gift</t>
  </si>
  <si>
    <t>Urban Outfitters</t>
  </si>
  <si>
    <t>The Face Shop</t>
  </si>
  <si>
    <t>Taylor's Gift and gum</t>
  </si>
  <si>
    <t>Dollarama</t>
  </si>
  <si>
    <t>Terroni</t>
  </si>
  <si>
    <t>Taylor's Birthday Dinner</t>
  </si>
  <si>
    <t>Bar +</t>
  </si>
  <si>
    <t>Vodka Cran</t>
  </si>
  <si>
    <t>Toronto to Mississauga</t>
  </si>
  <si>
    <t>BBT for Hayes and me</t>
  </si>
  <si>
    <t>June 2018</t>
  </si>
  <si>
    <t>DC Tim's</t>
  </si>
  <si>
    <t>Steeped Tea</t>
  </si>
  <si>
    <t>Falafel on the Sticks</t>
  </si>
  <si>
    <t>Marisa's lunch</t>
  </si>
  <si>
    <t>Kombucha</t>
  </si>
  <si>
    <t>DoShack</t>
  </si>
  <si>
    <t>Pizza</t>
  </si>
  <si>
    <t>*eTransfer from Justin</t>
  </si>
  <si>
    <t>Perfect Image</t>
  </si>
  <si>
    <t>Earring</t>
  </si>
  <si>
    <t>Muffin</t>
  </si>
  <si>
    <t>Hockey Game</t>
  </si>
  <si>
    <t>Bomber</t>
  </si>
  <si>
    <t>Trivia Night</t>
  </si>
  <si>
    <t>Veggie Pizza and Wedges</t>
  </si>
  <si>
    <t>Pizza Pizza</t>
  </si>
  <si>
    <t>*eTransfer from Ashley</t>
  </si>
  <si>
    <t>BarBurrito</t>
  </si>
  <si>
    <t>Ground Veggie Burrito</t>
  </si>
  <si>
    <t>*since September 7th, 2017</t>
  </si>
  <si>
    <t>*since 2B</t>
  </si>
  <si>
    <t>Flat White and Muffin</t>
  </si>
  <si>
    <t>Chinese food</t>
  </si>
  <si>
    <t>Longsleeve</t>
  </si>
  <si>
    <t>Imagine Dragons</t>
  </si>
  <si>
    <t>Eng C&amp;D</t>
  </si>
  <si>
    <t>*eTransfer to Tara</t>
  </si>
  <si>
    <t>SYDE camping</t>
  </si>
  <si>
    <t>Shin Wa</t>
  </si>
  <si>
    <t>Bao and Poutine</t>
  </si>
  <si>
    <t>Tax Refund</t>
  </si>
  <si>
    <t>Iced Coffee and Croissant</t>
  </si>
  <si>
    <t>Liam and my dinner</t>
  </si>
  <si>
    <t>Salad and breakfast</t>
  </si>
  <si>
    <t>Japchae</t>
  </si>
  <si>
    <t>Harvey's</t>
  </si>
  <si>
    <t>Burger and Frings</t>
  </si>
  <si>
    <t>Aunty's Kitchen</t>
  </si>
  <si>
    <t>Chana Masala Poutine</t>
  </si>
  <si>
    <t>Poke Box</t>
  </si>
  <si>
    <t>Poke Bowl with Alena</t>
  </si>
  <si>
    <t>Airbnb</t>
  </si>
  <si>
    <t>Zehrs</t>
  </si>
  <si>
    <t>Brownies</t>
  </si>
  <si>
    <t>Lancaster's Smokehouse</t>
  </si>
  <si>
    <t>Sweet Potato Fries</t>
  </si>
  <si>
    <t>Stellas</t>
  </si>
  <si>
    <t>Grand River Rocks</t>
  </si>
  <si>
    <t>Day Pass</t>
  </si>
  <si>
    <t>Rebel</t>
  </si>
  <si>
    <t>*eTransfer to Hazel</t>
  </si>
  <si>
    <t>July 2018</t>
  </si>
  <si>
    <t>Hazel and Jo's gifts</t>
  </si>
  <si>
    <t>Groceries and Movie Tix</t>
  </si>
  <si>
    <t>*eTransfer to Justin</t>
  </si>
  <si>
    <t>Lunch</t>
  </si>
  <si>
    <t>Alcohol for the Weekend</t>
  </si>
  <si>
    <t>ASG</t>
  </si>
  <si>
    <t>*eTransfer to Alex</t>
  </si>
  <si>
    <t>DP</t>
  </si>
  <si>
    <t>Food for Seb and me</t>
  </si>
  <si>
    <t>Government</t>
  </si>
  <si>
    <t>OneZo Tapioca</t>
  </si>
  <si>
    <t>Campus Pizza</t>
  </si>
  <si>
    <t>ShawermaPlus</t>
  </si>
  <si>
    <t>Falafel Shawerma x2</t>
  </si>
  <si>
    <t>Iced Coffee and Coffee</t>
  </si>
  <si>
    <t>Niagara</t>
  </si>
  <si>
    <t>Wine Tour</t>
  </si>
  <si>
    <t>Tofu and Avocado</t>
  </si>
  <si>
    <t>Falafel Shawerma</t>
  </si>
  <si>
    <t>Rohan's present</t>
  </si>
  <si>
    <t>*eTransfer to Norman</t>
  </si>
  <si>
    <t>Matcha with Fresh Milk</t>
  </si>
  <si>
    <t>Design Project - Pizza</t>
  </si>
  <si>
    <t>*eTransfer to Samantha</t>
  </si>
  <si>
    <t>Design Project - FSR</t>
  </si>
  <si>
    <t>Models Project - Pizza</t>
  </si>
  <si>
    <t>*eTransfer to Marisa</t>
  </si>
  <si>
    <t>Iced Coffee and Donut</t>
  </si>
  <si>
    <t>Tim's</t>
  </si>
  <si>
    <t>Spinach Feta Croissant</t>
  </si>
  <si>
    <t>Coffee and Muffin</t>
  </si>
  <si>
    <t>Noodles and Bread</t>
  </si>
  <si>
    <t>6 inch and cookie</t>
  </si>
  <si>
    <t>Everything Bagel</t>
  </si>
  <si>
    <t>Breakfast</t>
  </si>
  <si>
    <t>*eTransfer from Liam</t>
  </si>
  <si>
    <t>August 2018</t>
  </si>
  <si>
    <t>Chocolate Dip Donut</t>
  </si>
  <si>
    <t>*eTransfer from Alena</t>
  </si>
  <si>
    <t>Muffin and Cookie</t>
  </si>
  <si>
    <t>Kinkaku</t>
  </si>
  <si>
    <t>AYCE</t>
  </si>
  <si>
    <t>Flavio's</t>
  </si>
  <si>
    <t>Haircut</t>
  </si>
  <si>
    <t>Riverview Cellars</t>
  </si>
  <si>
    <t>Wines</t>
  </si>
  <si>
    <t>Wine Tour - refund</t>
  </si>
  <si>
    <t>Reid Estate</t>
  </si>
  <si>
    <t>Wine</t>
  </si>
  <si>
    <t>Marynissen Estates</t>
  </si>
  <si>
    <t>The Garrison House</t>
  </si>
  <si>
    <t>Salad and Beer</t>
  </si>
  <si>
    <t>PartyCity</t>
  </si>
  <si>
    <t>Nitro brew</t>
  </si>
  <si>
    <t>Bistro SixtyOne</t>
  </si>
  <si>
    <t>Veggie Wrap</t>
  </si>
  <si>
    <t>Casa Mia Ristorante</t>
  </si>
  <si>
    <t>Fancy Dinner</t>
  </si>
  <si>
    <t>Farm</t>
  </si>
  <si>
    <t>Peach picking</t>
  </si>
  <si>
    <t>100% plant based icecream</t>
  </si>
  <si>
    <t>Squid and Tofu Skewers</t>
  </si>
  <si>
    <t>*eTransfer from Shio</t>
  </si>
  <si>
    <t>*eTransfer from Seb</t>
  </si>
  <si>
    <t>*eTransfer from Ash</t>
  </si>
  <si>
    <t>*eTransfer to Liam</t>
  </si>
  <si>
    <t>Avondale Dairy Bars</t>
  </si>
  <si>
    <t>Winners</t>
  </si>
  <si>
    <t>Tshirt</t>
  </si>
  <si>
    <t>Boston Pizza</t>
  </si>
  <si>
    <t>Drinks with Shannon</t>
  </si>
  <si>
    <t>Hot Topic</t>
  </si>
  <si>
    <t>TOP sweater</t>
  </si>
  <si>
    <t>credit</t>
  </si>
  <si>
    <t>Coffee Shop</t>
  </si>
  <si>
    <t>Iced Macchiatos</t>
  </si>
  <si>
    <t>Shoe Store</t>
  </si>
  <si>
    <t>Sunglasses</t>
  </si>
  <si>
    <t>Iced Matcha Latte</t>
  </si>
  <si>
    <t>Book Store</t>
  </si>
  <si>
    <t>Know the Knight</t>
  </si>
  <si>
    <t>Sports Bar</t>
  </si>
  <si>
    <t>Fries and Beer</t>
  </si>
  <si>
    <t>Vegetarian Ramen</t>
  </si>
  <si>
    <t>RecRoom</t>
  </si>
  <si>
    <t>Lucky Clover</t>
  </si>
  <si>
    <t>Fries and Hashbrowns</t>
  </si>
  <si>
    <t>Student Care Plan</t>
  </si>
  <si>
    <t>Cactus Club</t>
  </si>
  <si>
    <t>Modern Bowl</t>
  </si>
  <si>
    <t>Shots</t>
  </si>
  <si>
    <t>Drake Mini Bar</t>
  </si>
  <si>
    <t>Hashbrowns</t>
  </si>
  <si>
    <t>Camping</t>
  </si>
  <si>
    <t>*eTransfer to Hanna</t>
  </si>
  <si>
    <t>*eTransfer to Seb</t>
  </si>
  <si>
    <t>Coffee Culture</t>
  </si>
  <si>
    <t>Blake</t>
  </si>
  <si>
    <t>Crazy Rich Asians</t>
  </si>
  <si>
    <t>Mildred's Temple Kitchen</t>
  </si>
  <si>
    <t>Cauliflower Bowl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</si>
</sst>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16" fontId="0" fillId="0" borderId="0" xfId="0" applyNumberFormat="1"/>
    <xf numFmtId="44" fontId="0" fillId="0" borderId="0" xfId="1" applyFont="1"/>
    <xf numFmtId="0" fontId="0" fillId="0" borderId="0" xfId="1" applyNumberFormat="1" applyFont="1"/>
    <xf numFmtId="44" fontId="0" fillId="0" borderId="0" xfId="0" applyNumberFormat="1"/>
    <xf numFmtId="10" fontId="0" fillId="0" borderId="0" xfId="0" applyNumberFormat="1"/>
    <xf numFmtId="0" fontId="0" fillId="0" borderId="0" xfId="0" applyFill="1"/>
    <xf numFmtId="0" fontId="0" fillId="0" borderId="0" xfId="1" applyNumberFormat="1" applyFont="1" applyFill="1"/>
    <xf numFmtId="0" fontId="0" fillId="0" borderId="1" xfId="0" applyNumberFormat="1" applyBorder="1"/>
    <xf numFmtId="0" fontId="0" fillId="0" borderId="2" xfId="0" applyNumberFormat="1" applyBorder="1"/>
    <xf numFmtId="0" fontId="0" fillId="0" borderId="2" xfId="1" applyNumberFormat="1" applyFont="1" applyBorder="1"/>
    <xf numFmtId="0" fontId="0" fillId="0" borderId="3" xfId="1" applyNumberFormat="1" applyFont="1" applyBorder="1"/>
    <xf numFmtId="0" fontId="0" fillId="0" borderId="1" xfId="1" applyNumberFormat="1" applyFont="1" applyBorder="1"/>
    <xf numFmtId="0" fontId="0" fillId="0" borderId="0" xfId="1" applyNumberFormat="1" applyFont="1" applyBorder="1"/>
    <xf numFmtId="0" fontId="0" fillId="0" borderId="0" xfId="0" applyNumberFormat="1"/>
    <xf numFmtId="44" fontId="2" fillId="0" borderId="0" xfId="1" applyFont="1" applyAlignment="1"/>
    <xf numFmtId="10" fontId="0" fillId="0" borderId="0" xfId="2" applyNumberFormat="1" applyFont="1"/>
    <xf numFmtId="10" fontId="0" fillId="0" borderId="0" xfId="1" applyNumberFormat="1" applyFont="1"/>
    <xf numFmtId="44" fontId="0" fillId="2" borderId="0" xfId="0" applyNumberFormat="1" applyFill="1"/>
    <xf numFmtId="49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44" fontId="0" fillId="0" borderId="0" xfId="2" applyNumberFormat="1" applyFont="1"/>
    <xf numFmtId="44" fontId="0" fillId="2" borderId="0" xfId="1" applyFont="1" applyFill="1"/>
    <xf numFmtId="0" fontId="0" fillId="2" borderId="0" xfId="0" applyFill="1"/>
  </cellXfs>
  <cellStyles count="3">
    <cellStyle name="Currency" xfId="1" builtinId="4"/>
    <cellStyle name="Normal" xfId="0" builtinId="0"/>
    <cellStyle name="Percent" xfId="2" builtinId="5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7A87-8847-442C-A5C9-AD21404FC632}">
  <sheetPr codeName="Sheet1"/>
  <dimension ref="A1:P582"/>
  <sheetViews>
    <sheetView tabSelected="1" topLeftCell="A515" workbookViewId="0">
      <selection activeCell="L520" sqref="L520"/>
    </sheetView>
  </sheetViews>
  <sheetFormatPr defaultRowHeight="15" x14ac:dyDescent="0.25"/>
  <cols>
    <col min="1" max="2" width="10.7109375" customWidth="1"/>
    <col min="3" max="3" width="15.7109375" customWidth="1"/>
    <col min="4" max="4" width="23.7109375" customWidth="1"/>
    <col min="5" max="5" width="24.42578125" bestFit="1" customWidth="1"/>
    <col min="6" max="7" width="15.7109375" style="2" customWidth="1"/>
    <col min="8" max="8" width="15.7109375" style="3" customWidth="1"/>
    <col min="9" max="9" width="18.7109375" style="2" customWidth="1"/>
    <col min="10" max="10" width="16.42578125" style="6" customWidth="1"/>
    <col min="11" max="11" width="13.28515625" bestFit="1" customWidth="1"/>
    <col min="12" max="12" width="21.42578125" customWidth="1"/>
    <col min="13" max="13" width="9.7109375" customWidth="1"/>
    <col min="15" max="15" width="9.7109375" bestFit="1" customWidth="1"/>
    <col min="16" max="16" width="11.5703125" bestFit="1" customWidth="1"/>
  </cols>
  <sheetData>
    <row r="1" spans="1:16" x14ac:dyDescent="0.25">
      <c r="A1" s="6" t="s">
        <v>83</v>
      </c>
      <c r="B1" s="6" t="s">
        <v>250</v>
      </c>
      <c r="C1" s="6" t="s">
        <v>0</v>
      </c>
      <c r="D1" s="6" t="s">
        <v>8</v>
      </c>
      <c r="E1" s="6" t="s">
        <v>3</v>
      </c>
      <c r="F1" s="7" t="s">
        <v>2</v>
      </c>
      <c r="G1" s="7" t="s">
        <v>1</v>
      </c>
      <c r="H1" s="7" t="s">
        <v>43</v>
      </c>
      <c r="I1" s="7" t="s">
        <v>66</v>
      </c>
      <c r="K1" t="s">
        <v>44</v>
      </c>
      <c r="L1" s="2">
        <f>SUMIF(H:H, "School", G:G)</f>
        <v>376.65000000000003</v>
      </c>
      <c r="M1" s="5">
        <f>(L1/L12)</f>
        <v>3.0174074729803255E-2</v>
      </c>
      <c r="O1" t="s">
        <v>74</v>
      </c>
    </row>
    <row r="2" spans="1:16" x14ac:dyDescent="0.25">
      <c r="E2" s="1"/>
      <c r="I2" s="2">
        <v>1041.3900000000001</v>
      </c>
      <c r="K2" t="s">
        <v>45</v>
      </c>
      <c r="L2" s="2">
        <f>SUMIF(H:H, "Food", G:G)</f>
        <v>3273.1599999999971</v>
      </c>
      <c r="M2" s="5">
        <f>(L2/L12)</f>
        <v>0.26221843738909523</v>
      </c>
      <c r="O2" t="s">
        <v>359</v>
      </c>
      <c r="P2" s="2">
        <v>1616</v>
      </c>
    </row>
    <row r="3" spans="1:16" x14ac:dyDescent="0.25">
      <c r="A3">
        <v>1</v>
      </c>
      <c r="C3" s="1">
        <v>42985</v>
      </c>
      <c r="D3" s="1" t="s">
        <v>9</v>
      </c>
      <c r="E3" t="s">
        <v>10</v>
      </c>
      <c r="G3" s="2">
        <v>22.6</v>
      </c>
      <c r="H3" s="3" t="s">
        <v>44</v>
      </c>
      <c r="I3" s="2">
        <f>(I2+F3-G3)</f>
        <v>1018.7900000000001</v>
      </c>
      <c r="K3" t="s">
        <v>17</v>
      </c>
      <c r="L3" s="2">
        <f>SUMIF(H:H, "Groceries", G:G)</f>
        <v>429.32</v>
      </c>
      <c r="M3" s="5">
        <f>(L3/L12)</f>
        <v>3.4393558377802023E-2</v>
      </c>
      <c r="O3" t="s">
        <v>359</v>
      </c>
      <c r="P3" s="2">
        <v>5732</v>
      </c>
    </row>
    <row r="4" spans="1:16" x14ac:dyDescent="0.25">
      <c r="A4">
        <v>2</v>
      </c>
      <c r="C4" s="1">
        <v>42985</v>
      </c>
      <c r="D4" s="1" t="s">
        <v>11</v>
      </c>
      <c r="E4" t="s">
        <v>4</v>
      </c>
      <c r="G4" s="2">
        <v>20</v>
      </c>
      <c r="H4" s="3" t="s">
        <v>44</v>
      </c>
      <c r="I4" s="2">
        <f t="shared" ref="I4:I67" si="0">(I3+F4-G4)</f>
        <v>998.79000000000008</v>
      </c>
      <c r="K4" t="s">
        <v>245</v>
      </c>
      <c r="L4" s="2">
        <f>SUMIF(H:H, "Commute", G:G)</f>
        <v>1448.8100000000002</v>
      </c>
      <c r="M4" s="5">
        <f>(L4/L12)</f>
        <v>0.11606664332745587</v>
      </c>
      <c r="O4" t="s">
        <v>360</v>
      </c>
      <c r="P4" s="2">
        <v>1295</v>
      </c>
    </row>
    <row r="5" spans="1:16" x14ac:dyDescent="0.25">
      <c r="A5">
        <v>3</v>
      </c>
      <c r="C5" s="1">
        <v>42986</v>
      </c>
      <c r="D5" s="1" t="s">
        <v>11</v>
      </c>
      <c r="E5" t="s">
        <v>5</v>
      </c>
      <c r="G5" s="2">
        <v>80.23</v>
      </c>
      <c r="H5" s="3" t="s">
        <v>44</v>
      </c>
      <c r="I5" s="2">
        <f t="shared" si="0"/>
        <v>918.56000000000006</v>
      </c>
      <c r="K5" t="s">
        <v>46</v>
      </c>
      <c r="L5" s="2">
        <f>SUMIF(H:H, "Misc", G:G)</f>
        <v>5347.1399999999994</v>
      </c>
      <c r="M5" s="5">
        <f>(L5/L12)</f>
        <v>0.42836851706018886</v>
      </c>
      <c r="O5" t="s">
        <v>361</v>
      </c>
      <c r="P5" s="2">
        <v>6510</v>
      </c>
    </row>
    <row r="6" spans="1:16" x14ac:dyDescent="0.25">
      <c r="A6">
        <v>4</v>
      </c>
      <c r="C6" s="1">
        <v>42986</v>
      </c>
      <c r="D6" s="1" t="s">
        <v>12</v>
      </c>
      <c r="E6" t="s">
        <v>13</v>
      </c>
      <c r="G6" s="2">
        <v>8.4600000000000009</v>
      </c>
      <c r="H6" s="3" t="s">
        <v>45</v>
      </c>
      <c r="I6" s="2">
        <f t="shared" si="0"/>
        <v>910.1</v>
      </c>
      <c r="J6" s="6" t="s">
        <v>34</v>
      </c>
      <c r="K6" t="s">
        <v>251</v>
      </c>
      <c r="L6" s="2">
        <f>SUMIF(H:H, "Alcohol", G:G)</f>
        <v>661.58999999999992</v>
      </c>
      <c r="M6" s="5">
        <f>(L6/L12)</f>
        <v>5.3001104740450104E-2</v>
      </c>
      <c r="P6" s="4">
        <f>SUM(P2:P5)</f>
        <v>15153</v>
      </c>
    </row>
    <row r="7" spans="1:16" x14ac:dyDescent="0.25">
      <c r="A7">
        <v>5</v>
      </c>
      <c r="C7" s="1">
        <v>42986</v>
      </c>
      <c r="D7" t="s">
        <v>6</v>
      </c>
      <c r="E7" t="s">
        <v>14</v>
      </c>
      <c r="G7" s="2">
        <v>14.84</v>
      </c>
      <c r="H7" s="3" t="s">
        <v>45</v>
      </c>
      <c r="I7" s="2">
        <f t="shared" si="0"/>
        <v>895.26</v>
      </c>
      <c r="K7" t="s">
        <v>252</v>
      </c>
      <c r="L7" s="2">
        <f>SUMIF(H:H, "Presents", G:G)</f>
        <v>585.90000000000009</v>
      </c>
      <c r="M7" s="5">
        <f>(L7/L12)</f>
        <v>4.6937449579693952E-2</v>
      </c>
    </row>
    <row r="8" spans="1:16" x14ac:dyDescent="0.25">
      <c r="A8">
        <v>6</v>
      </c>
      <c r="C8" s="1">
        <v>42986</v>
      </c>
      <c r="D8" s="1" t="s">
        <v>15</v>
      </c>
      <c r="E8" t="s">
        <v>16</v>
      </c>
      <c r="G8" s="2">
        <v>3.05</v>
      </c>
      <c r="H8" s="3" t="s">
        <v>45</v>
      </c>
      <c r="I8" s="2">
        <f t="shared" si="0"/>
        <v>892.21</v>
      </c>
      <c r="K8" t="s">
        <v>246</v>
      </c>
      <c r="L8" s="2">
        <f>SUMIF(H:H, "Swag", G:G)</f>
        <v>360</v>
      </c>
      <c r="M8" s="5">
        <f>(L8/L12)</f>
        <v>2.8840214795510875E-2</v>
      </c>
      <c r="N8" s="5">
        <f>SUM(M1:M8)</f>
        <v>1</v>
      </c>
    </row>
    <row r="9" spans="1:16" x14ac:dyDescent="0.25">
      <c r="A9">
        <v>7</v>
      </c>
      <c r="C9" s="1">
        <v>42987</v>
      </c>
      <c r="D9" t="s">
        <v>7</v>
      </c>
      <c r="E9" t="s">
        <v>17</v>
      </c>
      <c r="G9" s="2">
        <v>46.96</v>
      </c>
      <c r="H9" s="3" t="s">
        <v>17</v>
      </c>
      <c r="I9" s="2">
        <f t="shared" si="0"/>
        <v>845.25</v>
      </c>
      <c r="M9" s="5"/>
    </row>
    <row r="10" spans="1:16" x14ac:dyDescent="0.25">
      <c r="A10">
        <v>8</v>
      </c>
      <c r="C10" s="1">
        <v>42987</v>
      </c>
      <c r="D10" s="1" t="s">
        <v>18</v>
      </c>
      <c r="E10" t="s">
        <v>19</v>
      </c>
      <c r="G10" s="2">
        <v>15.55</v>
      </c>
      <c r="H10" s="3" t="s">
        <v>251</v>
      </c>
      <c r="I10" s="2">
        <f t="shared" si="0"/>
        <v>829.7</v>
      </c>
      <c r="K10" t="s">
        <v>76</v>
      </c>
      <c r="L10" s="2">
        <f>SUMIF(H:H, "Rent", G:G)</f>
        <v>5600</v>
      </c>
      <c r="M10" s="16">
        <f>L10/L13</f>
        <v>0.20586880495732088</v>
      </c>
    </row>
    <row r="11" spans="1:16" x14ac:dyDescent="0.25">
      <c r="A11">
        <v>9</v>
      </c>
      <c r="C11" s="1">
        <v>42989</v>
      </c>
      <c r="D11" t="s">
        <v>20</v>
      </c>
      <c r="E11" t="s">
        <v>21</v>
      </c>
      <c r="G11" s="2">
        <v>6.75</v>
      </c>
      <c r="H11" s="3" t="s">
        <v>45</v>
      </c>
      <c r="I11" s="2">
        <f t="shared" si="0"/>
        <v>822.95</v>
      </c>
      <c r="K11" t="s">
        <v>334</v>
      </c>
      <c r="L11" s="2">
        <f>SUMIF(H:H, "Tuition", G:G)</f>
        <v>9119.2199999999993</v>
      </c>
      <c r="M11" s="16">
        <f>L11/L13</f>
        <v>0.3352433792040892</v>
      </c>
    </row>
    <row r="12" spans="1:16" x14ac:dyDescent="0.25">
      <c r="A12">
        <v>10</v>
      </c>
      <c r="C12" s="1">
        <v>42989</v>
      </c>
      <c r="D12" s="1" t="s">
        <v>23</v>
      </c>
      <c r="E12" t="s">
        <v>22</v>
      </c>
      <c r="G12" s="2">
        <v>13.55</v>
      </c>
      <c r="H12" s="3" t="s">
        <v>44</v>
      </c>
      <c r="I12" s="2">
        <f t="shared" si="0"/>
        <v>809.40000000000009</v>
      </c>
      <c r="K12" t="s">
        <v>335</v>
      </c>
      <c r="L12" s="4">
        <f>(L13-L10-L11)</f>
        <v>12482.569999999994</v>
      </c>
      <c r="M12" s="16">
        <f>L12/L13</f>
        <v>0.45888781583858995</v>
      </c>
      <c r="N12" s="5">
        <f>M10+M11+M12</f>
        <v>1</v>
      </c>
    </row>
    <row r="13" spans="1:16" x14ac:dyDescent="0.25">
      <c r="A13">
        <v>11</v>
      </c>
      <c r="C13" s="1">
        <v>42990</v>
      </c>
      <c r="D13" t="s">
        <v>24</v>
      </c>
      <c r="E13" t="s">
        <v>25</v>
      </c>
      <c r="G13" s="2">
        <v>2.81</v>
      </c>
      <c r="H13" s="3" t="s">
        <v>45</v>
      </c>
      <c r="I13" s="2">
        <f t="shared" si="0"/>
        <v>806.59000000000015</v>
      </c>
      <c r="J13" s="6" t="s">
        <v>34</v>
      </c>
      <c r="K13" t="s">
        <v>377</v>
      </c>
      <c r="L13" s="4">
        <f>SUM(G:G)</f>
        <v>27201.789999999994</v>
      </c>
    </row>
    <row r="14" spans="1:16" x14ac:dyDescent="0.25">
      <c r="A14">
        <v>12</v>
      </c>
      <c r="C14" s="1">
        <v>42990</v>
      </c>
      <c r="D14" s="1" t="s">
        <v>26</v>
      </c>
      <c r="E14" t="s">
        <v>27</v>
      </c>
      <c r="G14" s="2">
        <v>17.77</v>
      </c>
      <c r="H14" s="3" t="s">
        <v>44</v>
      </c>
      <c r="I14" s="2">
        <f t="shared" si="0"/>
        <v>788.82000000000016</v>
      </c>
    </row>
    <row r="15" spans="1:16" x14ac:dyDescent="0.25">
      <c r="A15">
        <v>13</v>
      </c>
      <c r="C15" s="1">
        <v>42990</v>
      </c>
      <c r="D15" t="s">
        <v>11</v>
      </c>
      <c r="E15" t="s">
        <v>4</v>
      </c>
      <c r="G15" s="2">
        <v>10</v>
      </c>
      <c r="H15" s="3" t="s">
        <v>44</v>
      </c>
      <c r="I15" s="2">
        <f t="shared" si="0"/>
        <v>778.82000000000016</v>
      </c>
      <c r="K15" t="s">
        <v>248</v>
      </c>
      <c r="L15" s="2">
        <f>SUM( F:F)</f>
        <v>27717.729999999985</v>
      </c>
    </row>
    <row r="16" spans="1:16" x14ac:dyDescent="0.25">
      <c r="A16">
        <v>14</v>
      </c>
      <c r="C16" s="1">
        <v>42991</v>
      </c>
      <c r="D16" s="1" t="s">
        <v>15</v>
      </c>
      <c r="E16" t="s">
        <v>28</v>
      </c>
      <c r="G16" s="2">
        <v>8.42</v>
      </c>
      <c r="H16" s="3" t="s">
        <v>45</v>
      </c>
      <c r="I16" s="2">
        <f t="shared" si="0"/>
        <v>770.4000000000002</v>
      </c>
      <c r="K16" s="14" t="s">
        <v>247</v>
      </c>
      <c r="L16" s="18">
        <f>I2-L13+L15</f>
        <v>1557.3299999999908</v>
      </c>
    </row>
    <row r="17" spans="1:13" x14ac:dyDescent="0.25">
      <c r="A17">
        <v>15</v>
      </c>
      <c r="C17" s="1">
        <v>42991</v>
      </c>
      <c r="D17" t="s">
        <v>29</v>
      </c>
      <c r="E17" t="s">
        <v>25</v>
      </c>
      <c r="G17" s="2">
        <v>2.81</v>
      </c>
      <c r="H17" s="3" t="s">
        <v>45</v>
      </c>
      <c r="I17" s="2">
        <f t="shared" si="0"/>
        <v>767.59000000000026</v>
      </c>
      <c r="J17" s="6" t="s">
        <v>34</v>
      </c>
      <c r="K17" s="14" t="s">
        <v>249</v>
      </c>
      <c r="L17" s="4">
        <f>L16-I2</f>
        <v>515.93999999999073</v>
      </c>
      <c r="M17" t="s">
        <v>445</v>
      </c>
    </row>
    <row r="18" spans="1:13" x14ac:dyDescent="0.25">
      <c r="A18">
        <v>16</v>
      </c>
      <c r="C18" s="1">
        <v>42991</v>
      </c>
      <c r="D18" s="1" t="s">
        <v>30</v>
      </c>
      <c r="E18" t="s">
        <v>31</v>
      </c>
      <c r="G18" s="2">
        <v>20</v>
      </c>
      <c r="H18" s="3" t="s">
        <v>45</v>
      </c>
      <c r="I18" s="2">
        <f t="shared" si="0"/>
        <v>747.59000000000026</v>
      </c>
      <c r="M18" t="s">
        <v>446</v>
      </c>
    </row>
    <row r="19" spans="1:13" x14ac:dyDescent="0.25">
      <c r="A19">
        <v>17</v>
      </c>
      <c r="C19" s="1">
        <v>42992</v>
      </c>
      <c r="D19" t="s">
        <v>32</v>
      </c>
      <c r="E19" t="s">
        <v>33</v>
      </c>
      <c r="G19" s="2">
        <v>7.51</v>
      </c>
      <c r="H19" s="3" t="s">
        <v>45</v>
      </c>
      <c r="I19" s="2">
        <f t="shared" si="0"/>
        <v>740.08000000000027</v>
      </c>
      <c r="J19" s="6" t="s">
        <v>34</v>
      </c>
    </row>
    <row r="20" spans="1:13" x14ac:dyDescent="0.25">
      <c r="A20">
        <v>18</v>
      </c>
      <c r="C20" s="1">
        <v>42992</v>
      </c>
      <c r="D20" s="1" t="s">
        <v>35</v>
      </c>
      <c r="E20" t="s">
        <v>36</v>
      </c>
      <c r="G20" s="2">
        <v>4.1900000000000004</v>
      </c>
      <c r="H20" s="3" t="s">
        <v>45</v>
      </c>
      <c r="I20" s="2">
        <f t="shared" si="0"/>
        <v>735.89000000000021</v>
      </c>
    </row>
    <row r="21" spans="1:13" x14ac:dyDescent="0.25">
      <c r="A21">
        <v>19</v>
      </c>
      <c r="C21" s="1">
        <v>42993</v>
      </c>
      <c r="D21" t="s">
        <v>11</v>
      </c>
      <c r="E21" t="s">
        <v>37</v>
      </c>
      <c r="G21" s="2">
        <v>58.01</v>
      </c>
      <c r="H21" s="3" t="s">
        <v>44</v>
      </c>
      <c r="I21" s="2">
        <f t="shared" si="0"/>
        <v>677.88000000000022</v>
      </c>
      <c r="J21" s="6" t="s">
        <v>38</v>
      </c>
    </row>
    <row r="22" spans="1:13" x14ac:dyDescent="0.25">
      <c r="A22">
        <v>20</v>
      </c>
      <c r="C22" s="1">
        <v>42993</v>
      </c>
      <c r="D22" s="1" t="s">
        <v>39</v>
      </c>
      <c r="E22" t="s">
        <v>40</v>
      </c>
      <c r="G22" s="2">
        <v>7.9</v>
      </c>
      <c r="H22" s="3" t="s">
        <v>46</v>
      </c>
      <c r="I22" s="2">
        <f t="shared" si="0"/>
        <v>669.98000000000025</v>
      </c>
    </row>
    <row r="23" spans="1:13" x14ac:dyDescent="0.25">
      <c r="A23">
        <v>21</v>
      </c>
      <c r="C23" s="1">
        <v>42993</v>
      </c>
      <c r="D23" t="s">
        <v>41</v>
      </c>
      <c r="E23" t="s">
        <v>42</v>
      </c>
      <c r="G23" s="2">
        <v>10.49</v>
      </c>
      <c r="H23" s="3" t="s">
        <v>45</v>
      </c>
      <c r="I23" s="2">
        <f t="shared" si="0"/>
        <v>659.49000000000024</v>
      </c>
    </row>
    <row r="24" spans="1:13" x14ac:dyDescent="0.25">
      <c r="A24">
        <v>22</v>
      </c>
      <c r="C24" s="1">
        <v>42994</v>
      </c>
      <c r="D24" s="1" t="s">
        <v>15</v>
      </c>
      <c r="E24" t="s">
        <v>47</v>
      </c>
      <c r="G24" s="2">
        <v>10.17</v>
      </c>
      <c r="H24" s="3" t="s">
        <v>45</v>
      </c>
      <c r="I24" s="2">
        <f t="shared" si="0"/>
        <v>649.32000000000028</v>
      </c>
    </row>
    <row r="25" spans="1:13" x14ac:dyDescent="0.25">
      <c r="A25">
        <v>23</v>
      </c>
      <c r="C25" s="1">
        <v>42996</v>
      </c>
      <c r="D25" t="s">
        <v>48</v>
      </c>
      <c r="E25" t="s">
        <v>49</v>
      </c>
      <c r="G25" s="2">
        <v>10.44</v>
      </c>
      <c r="H25" s="3" t="s">
        <v>45</v>
      </c>
      <c r="I25" s="2">
        <f t="shared" si="0"/>
        <v>638.88000000000022</v>
      </c>
      <c r="J25" s="6" t="s">
        <v>34</v>
      </c>
    </row>
    <row r="26" spans="1:13" x14ac:dyDescent="0.25">
      <c r="A26">
        <v>24</v>
      </c>
      <c r="C26" s="1">
        <v>42996</v>
      </c>
      <c r="D26" s="1" t="s">
        <v>50</v>
      </c>
      <c r="E26" t="s">
        <v>51</v>
      </c>
      <c r="G26" s="2">
        <v>1.46</v>
      </c>
      <c r="H26" s="3" t="s">
        <v>45</v>
      </c>
      <c r="I26" s="2">
        <f t="shared" si="0"/>
        <v>637.42000000000019</v>
      </c>
    </row>
    <row r="27" spans="1:13" x14ac:dyDescent="0.25">
      <c r="A27">
        <v>25</v>
      </c>
      <c r="C27" s="1">
        <v>42996</v>
      </c>
      <c r="D27" t="s">
        <v>50</v>
      </c>
      <c r="E27" t="s">
        <v>52</v>
      </c>
      <c r="G27" s="2">
        <v>1.04</v>
      </c>
      <c r="H27" s="3" t="s">
        <v>45</v>
      </c>
      <c r="I27" s="2">
        <f t="shared" si="0"/>
        <v>636.38000000000022</v>
      </c>
    </row>
    <row r="28" spans="1:13" x14ac:dyDescent="0.25">
      <c r="A28">
        <v>26</v>
      </c>
      <c r="C28" s="1">
        <v>42997</v>
      </c>
      <c r="D28" s="1" t="s">
        <v>15</v>
      </c>
      <c r="E28" t="s">
        <v>16</v>
      </c>
      <c r="G28" s="2">
        <v>3.05</v>
      </c>
      <c r="H28" s="3" t="s">
        <v>45</v>
      </c>
      <c r="I28" s="2">
        <f t="shared" si="0"/>
        <v>633.33000000000027</v>
      </c>
    </row>
    <row r="29" spans="1:13" x14ac:dyDescent="0.25">
      <c r="A29">
        <v>27</v>
      </c>
      <c r="C29" s="1">
        <v>42998</v>
      </c>
      <c r="D29" t="s">
        <v>30</v>
      </c>
      <c r="E29" t="s">
        <v>58</v>
      </c>
      <c r="G29" s="2">
        <v>17</v>
      </c>
      <c r="H29" s="3" t="s">
        <v>45</v>
      </c>
      <c r="I29" s="2">
        <f t="shared" si="0"/>
        <v>616.33000000000027</v>
      </c>
    </row>
    <row r="30" spans="1:13" x14ac:dyDescent="0.25">
      <c r="A30">
        <v>28</v>
      </c>
      <c r="C30" s="1">
        <v>42998</v>
      </c>
      <c r="D30" t="s">
        <v>53</v>
      </c>
      <c r="E30" t="s">
        <v>54</v>
      </c>
      <c r="G30" s="2">
        <v>10.6</v>
      </c>
      <c r="H30" s="3" t="s">
        <v>45</v>
      </c>
      <c r="I30" s="2">
        <f t="shared" si="0"/>
        <v>605.73000000000025</v>
      </c>
    </row>
    <row r="31" spans="1:13" x14ac:dyDescent="0.25">
      <c r="A31">
        <v>29</v>
      </c>
      <c r="C31" s="1">
        <v>42998</v>
      </c>
      <c r="D31" s="1" t="s">
        <v>55</v>
      </c>
      <c r="E31" t="s">
        <v>56</v>
      </c>
      <c r="G31" s="2">
        <v>32.42</v>
      </c>
      <c r="H31" s="3" t="s">
        <v>46</v>
      </c>
      <c r="I31" s="2">
        <f t="shared" si="0"/>
        <v>573.31000000000029</v>
      </c>
    </row>
    <row r="32" spans="1:13" x14ac:dyDescent="0.25">
      <c r="A32">
        <v>30</v>
      </c>
      <c r="C32" s="1">
        <v>42998</v>
      </c>
      <c r="D32" t="s">
        <v>50</v>
      </c>
      <c r="E32" t="s">
        <v>57</v>
      </c>
      <c r="G32" s="2">
        <v>2.09</v>
      </c>
      <c r="H32" s="3" t="s">
        <v>45</v>
      </c>
      <c r="I32" s="2">
        <f t="shared" si="0"/>
        <v>571.22000000000025</v>
      </c>
    </row>
    <row r="33" spans="1:12" x14ac:dyDescent="0.25">
      <c r="A33">
        <v>31</v>
      </c>
      <c r="C33" s="1">
        <v>43000</v>
      </c>
      <c r="D33" t="s">
        <v>59</v>
      </c>
      <c r="E33" t="s">
        <v>60</v>
      </c>
      <c r="F33"/>
      <c r="G33" s="2">
        <v>3.2</v>
      </c>
      <c r="H33" s="3" t="s">
        <v>45</v>
      </c>
      <c r="I33" s="2">
        <f t="shared" si="0"/>
        <v>568.02000000000021</v>
      </c>
      <c r="J33" s="6" t="s">
        <v>34</v>
      </c>
    </row>
    <row r="34" spans="1:12" x14ac:dyDescent="0.25">
      <c r="A34">
        <v>32</v>
      </c>
      <c r="C34" s="1">
        <v>43000</v>
      </c>
      <c r="D34" t="s">
        <v>61</v>
      </c>
      <c r="E34" t="s">
        <v>4</v>
      </c>
      <c r="F34"/>
      <c r="G34" s="2">
        <v>20</v>
      </c>
      <c r="H34" s="3" t="s">
        <v>44</v>
      </c>
      <c r="I34" s="2">
        <f t="shared" si="0"/>
        <v>548.02000000000021</v>
      </c>
    </row>
    <row r="35" spans="1:12" x14ac:dyDescent="0.25">
      <c r="A35">
        <v>33</v>
      </c>
      <c r="C35" s="1">
        <v>43000</v>
      </c>
      <c r="D35" t="s">
        <v>15</v>
      </c>
      <c r="E35" t="s">
        <v>62</v>
      </c>
      <c r="G35" s="2">
        <v>11.85</v>
      </c>
      <c r="H35" s="3" t="s">
        <v>45</v>
      </c>
      <c r="I35" s="2">
        <f t="shared" si="0"/>
        <v>536.17000000000019</v>
      </c>
    </row>
    <row r="36" spans="1:12" x14ac:dyDescent="0.25">
      <c r="A36">
        <v>34</v>
      </c>
      <c r="C36" s="1">
        <v>43001</v>
      </c>
      <c r="D36" t="s">
        <v>63</v>
      </c>
      <c r="E36" t="s">
        <v>17</v>
      </c>
      <c r="G36" s="2">
        <v>38.26</v>
      </c>
      <c r="H36" s="3" t="s">
        <v>17</v>
      </c>
      <c r="I36" s="2">
        <f t="shared" si="0"/>
        <v>497.9100000000002</v>
      </c>
      <c r="J36" s="6" t="s">
        <v>34</v>
      </c>
    </row>
    <row r="37" spans="1:12" x14ac:dyDescent="0.25">
      <c r="A37">
        <v>35</v>
      </c>
      <c r="C37" s="1">
        <v>43001</v>
      </c>
      <c r="D37" t="s">
        <v>63</v>
      </c>
      <c r="E37" t="s">
        <v>64</v>
      </c>
      <c r="G37" s="2">
        <v>10</v>
      </c>
      <c r="H37" s="3" t="s">
        <v>46</v>
      </c>
      <c r="I37" s="2">
        <f t="shared" si="0"/>
        <v>487.9100000000002</v>
      </c>
      <c r="J37" s="6" t="s">
        <v>34</v>
      </c>
    </row>
    <row r="38" spans="1:12" x14ac:dyDescent="0.25">
      <c r="A38">
        <v>36</v>
      </c>
      <c r="C38" s="1">
        <v>43001</v>
      </c>
      <c r="D38" t="s">
        <v>41</v>
      </c>
      <c r="E38" t="s">
        <v>65</v>
      </c>
      <c r="G38" s="2">
        <v>12.41</v>
      </c>
      <c r="H38" s="3" t="s">
        <v>45</v>
      </c>
      <c r="I38" s="2">
        <f t="shared" si="0"/>
        <v>475.50000000000017</v>
      </c>
    </row>
    <row r="39" spans="1:12" x14ac:dyDescent="0.25">
      <c r="A39">
        <v>37</v>
      </c>
      <c r="C39" s="1">
        <v>43003</v>
      </c>
      <c r="D39" t="s">
        <v>67</v>
      </c>
      <c r="E39" t="s">
        <v>68</v>
      </c>
      <c r="G39" s="2">
        <v>5.42</v>
      </c>
      <c r="H39" s="3" t="s">
        <v>45</v>
      </c>
      <c r="I39" s="2">
        <f t="shared" si="0"/>
        <v>470.08000000000015</v>
      </c>
    </row>
    <row r="40" spans="1:12" x14ac:dyDescent="0.25">
      <c r="A40">
        <v>38</v>
      </c>
      <c r="C40" s="1">
        <v>43003</v>
      </c>
      <c r="D40" t="s">
        <v>69</v>
      </c>
      <c r="E40" t="s">
        <v>70</v>
      </c>
      <c r="F40"/>
      <c r="G40" s="2">
        <v>3.65</v>
      </c>
      <c r="H40" s="3" t="s">
        <v>45</v>
      </c>
      <c r="I40" s="2">
        <f t="shared" si="0"/>
        <v>466.43000000000018</v>
      </c>
      <c r="J40" s="6" t="s">
        <v>34</v>
      </c>
    </row>
    <row r="41" spans="1:12" x14ac:dyDescent="0.25">
      <c r="A41">
        <v>39</v>
      </c>
      <c r="C41" s="1">
        <v>43004</v>
      </c>
      <c r="D41" t="s">
        <v>71</v>
      </c>
      <c r="E41" t="s">
        <v>72</v>
      </c>
      <c r="G41" s="2">
        <v>12.42</v>
      </c>
      <c r="H41" s="3" t="s">
        <v>45</v>
      </c>
      <c r="I41" s="2">
        <f t="shared" si="0"/>
        <v>454.01000000000016</v>
      </c>
    </row>
    <row r="42" spans="1:12" x14ac:dyDescent="0.25">
      <c r="A42">
        <v>40</v>
      </c>
      <c r="C42" s="1">
        <v>43005</v>
      </c>
      <c r="D42" t="s">
        <v>6</v>
      </c>
      <c r="E42" t="s">
        <v>73</v>
      </c>
      <c r="G42" s="2">
        <v>8.99</v>
      </c>
      <c r="H42" s="3" t="s">
        <v>45</v>
      </c>
      <c r="I42" s="2">
        <f t="shared" si="0"/>
        <v>445.02000000000015</v>
      </c>
      <c r="L42" s="20" t="s">
        <v>323</v>
      </c>
    </row>
    <row r="43" spans="1:12" x14ac:dyDescent="0.25">
      <c r="B43">
        <v>1</v>
      </c>
      <c r="C43" s="1">
        <v>43005</v>
      </c>
      <c r="D43" t="s">
        <v>11</v>
      </c>
      <c r="E43" t="s">
        <v>74</v>
      </c>
      <c r="F43" s="2">
        <v>3360</v>
      </c>
      <c r="I43" s="2">
        <f t="shared" si="0"/>
        <v>3805.02</v>
      </c>
      <c r="L43" s="15">
        <f>SUM(G3:G44)</f>
        <v>596.37</v>
      </c>
    </row>
    <row r="44" spans="1:12" x14ac:dyDescent="0.25">
      <c r="B44">
        <v>2</v>
      </c>
      <c r="C44" s="1">
        <v>43005</v>
      </c>
      <c r="D44" t="s">
        <v>11</v>
      </c>
      <c r="E44" t="s">
        <v>74</v>
      </c>
      <c r="F44" s="2">
        <v>980</v>
      </c>
      <c r="I44" s="2">
        <f t="shared" si="0"/>
        <v>4785.0200000000004</v>
      </c>
      <c r="L44" s="16">
        <f>L43/L12</f>
        <v>4.7776219159996719E-2</v>
      </c>
    </row>
    <row r="45" spans="1:12" x14ac:dyDescent="0.25">
      <c r="A45">
        <v>41</v>
      </c>
      <c r="C45" s="1">
        <v>43009</v>
      </c>
      <c r="D45" t="s">
        <v>15</v>
      </c>
      <c r="E45" t="s">
        <v>75</v>
      </c>
      <c r="G45" s="2">
        <v>11.19</v>
      </c>
      <c r="H45" s="3" t="s">
        <v>45</v>
      </c>
      <c r="I45" s="2">
        <f t="shared" si="0"/>
        <v>4773.8300000000008</v>
      </c>
    </row>
    <row r="46" spans="1:12" x14ac:dyDescent="0.25">
      <c r="A46">
        <v>42</v>
      </c>
      <c r="C46" s="1">
        <v>43009</v>
      </c>
      <c r="D46" t="s">
        <v>11</v>
      </c>
      <c r="E46" t="s">
        <v>76</v>
      </c>
      <c r="G46" s="2">
        <v>560</v>
      </c>
      <c r="H46" s="3" t="s">
        <v>76</v>
      </c>
      <c r="I46" s="2">
        <f t="shared" si="0"/>
        <v>4213.8300000000008</v>
      </c>
    </row>
    <row r="47" spans="1:12" x14ac:dyDescent="0.25">
      <c r="B47">
        <v>3</v>
      </c>
      <c r="C47" s="1">
        <v>43010</v>
      </c>
      <c r="D47" t="s">
        <v>11</v>
      </c>
      <c r="E47" t="s">
        <v>77</v>
      </c>
      <c r="F47" s="2">
        <v>890</v>
      </c>
      <c r="I47" s="2">
        <f t="shared" si="0"/>
        <v>5103.8300000000008</v>
      </c>
    </row>
    <row r="48" spans="1:12" x14ac:dyDescent="0.25">
      <c r="A48">
        <v>43</v>
      </c>
      <c r="C48" s="1">
        <v>43012</v>
      </c>
      <c r="D48" t="s">
        <v>78</v>
      </c>
      <c r="E48" t="s">
        <v>79</v>
      </c>
      <c r="G48" s="2">
        <v>18.309999999999999</v>
      </c>
      <c r="H48" s="3" t="s">
        <v>45</v>
      </c>
      <c r="I48" s="2">
        <f t="shared" si="0"/>
        <v>5085.5200000000004</v>
      </c>
    </row>
    <row r="49" spans="1:13" x14ac:dyDescent="0.25">
      <c r="B49">
        <v>4</v>
      </c>
      <c r="C49" s="1">
        <v>43013</v>
      </c>
      <c r="D49" t="s">
        <v>11</v>
      </c>
      <c r="E49" t="s">
        <v>82</v>
      </c>
      <c r="F49" s="2">
        <v>106.75</v>
      </c>
      <c r="I49" s="2">
        <f t="shared" si="0"/>
        <v>5192.2700000000004</v>
      </c>
    </row>
    <row r="50" spans="1:13" x14ac:dyDescent="0.25">
      <c r="A50">
        <v>44</v>
      </c>
      <c r="C50" s="1">
        <v>43013</v>
      </c>
      <c r="D50" t="s">
        <v>15</v>
      </c>
      <c r="E50" t="s">
        <v>80</v>
      </c>
      <c r="G50" s="2">
        <v>5.32</v>
      </c>
      <c r="H50" s="3" t="s">
        <v>45</v>
      </c>
      <c r="I50" s="2">
        <f t="shared" si="0"/>
        <v>5186.9500000000007</v>
      </c>
    </row>
    <row r="51" spans="1:13" x14ac:dyDescent="0.25">
      <c r="A51">
        <v>45</v>
      </c>
      <c r="C51" s="1">
        <v>43013</v>
      </c>
      <c r="D51" t="s">
        <v>15</v>
      </c>
      <c r="E51" t="s">
        <v>81</v>
      </c>
      <c r="G51" s="2">
        <v>2.94</v>
      </c>
      <c r="H51" s="3" t="s">
        <v>45</v>
      </c>
      <c r="I51" s="2">
        <f t="shared" si="0"/>
        <v>5184.0100000000011</v>
      </c>
    </row>
    <row r="52" spans="1:13" x14ac:dyDescent="0.25">
      <c r="A52">
        <v>46</v>
      </c>
      <c r="C52" s="1">
        <v>43015</v>
      </c>
      <c r="D52" t="s">
        <v>18</v>
      </c>
      <c r="E52" s="1" t="s">
        <v>84</v>
      </c>
      <c r="G52" s="2">
        <v>25.95</v>
      </c>
      <c r="H52" s="3" t="s">
        <v>251</v>
      </c>
      <c r="I52" s="2">
        <f t="shared" si="0"/>
        <v>5158.0600000000013</v>
      </c>
      <c r="L52" s="2"/>
      <c r="M52" s="5"/>
    </row>
    <row r="53" spans="1:13" x14ac:dyDescent="0.25">
      <c r="A53">
        <v>47</v>
      </c>
      <c r="C53" s="1">
        <v>43016</v>
      </c>
      <c r="D53" t="s">
        <v>20</v>
      </c>
      <c r="E53" s="1" t="s">
        <v>85</v>
      </c>
      <c r="G53" s="2">
        <v>21.27</v>
      </c>
      <c r="H53" s="3" t="s">
        <v>45</v>
      </c>
      <c r="I53" s="2">
        <f t="shared" si="0"/>
        <v>5136.7900000000009</v>
      </c>
      <c r="L53" s="2"/>
      <c r="M53" s="5"/>
    </row>
    <row r="54" spans="1:13" x14ac:dyDescent="0.25">
      <c r="A54">
        <v>48</v>
      </c>
      <c r="C54" s="1">
        <v>43018</v>
      </c>
      <c r="D54" t="s">
        <v>86</v>
      </c>
      <c r="E54" s="1" t="s">
        <v>87</v>
      </c>
      <c r="G54" s="2">
        <v>24</v>
      </c>
      <c r="H54" s="3" t="s">
        <v>45</v>
      </c>
      <c r="I54" s="2">
        <f t="shared" si="0"/>
        <v>5112.7900000000009</v>
      </c>
      <c r="L54" s="2"/>
      <c r="M54" s="5"/>
    </row>
    <row r="55" spans="1:13" x14ac:dyDescent="0.25">
      <c r="A55">
        <v>49</v>
      </c>
      <c r="C55" s="1">
        <v>43020</v>
      </c>
      <c r="D55" t="s">
        <v>48</v>
      </c>
      <c r="E55" s="1" t="s">
        <v>88</v>
      </c>
      <c r="G55" s="2">
        <v>5.93</v>
      </c>
      <c r="H55" s="3" t="s">
        <v>45</v>
      </c>
      <c r="I55" s="2">
        <f t="shared" si="0"/>
        <v>5106.8600000000006</v>
      </c>
      <c r="J55" s="6" t="s">
        <v>34</v>
      </c>
      <c r="L55" s="2"/>
      <c r="M55" s="5"/>
    </row>
    <row r="56" spans="1:13" x14ac:dyDescent="0.25">
      <c r="A56">
        <v>50</v>
      </c>
      <c r="C56" s="1">
        <v>43020</v>
      </c>
      <c r="D56" t="s">
        <v>11</v>
      </c>
      <c r="E56" s="1" t="s">
        <v>89</v>
      </c>
      <c r="G56" s="2">
        <v>16.12</v>
      </c>
      <c r="H56" s="3" t="s">
        <v>252</v>
      </c>
      <c r="I56" s="2">
        <f t="shared" si="0"/>
        <v>5090.7400000000007</v>
      </c>
      <c r="J56" s="6" t="s">
        <v>90</v>
      </c>
      <c r="L56" s="2"/>
      <c r="M56" s="5"/>
    </row>
    <row r="57" spans="1:13" x14ac:dyDescent="0.25">
      <c r="A57">
        <v>51</v>
      </c>
      <c r="C57" s="1">
        <v>43022</v>
      </c>
      <c r="D57" t="s">
        <v>91</v>
      </c>
      <c r="E57" s="1" t="s">
        <v>92</v>
      </c>
      <c r="G57" s="2">
        <v>14</v>
      </c>
      <c r="H57" s="3" t="s">
        <v>45</v>
      </c>
      <c r="I57" s="2">
        <f t="shared" si="0"/>
        <v>5076.7400000000007</v>
      </c>
      <c r="L57" s="2"/>
      <c r="M57" s="5"/>
    </row>
    <row r="58" spans="1:13" x14ac:dyDescent="0.25">
      <c r="A58">
        <v>52</v>
      </c>
      <c r="C58" s="1">
        <v>43022</v>
      </c>
      <c r="D58" t="s">
        <v>15</v>
      </c>
      <c r="E58" s="1" t="s">
        <v>93</v>
      </c>
      <c r="G58" s="2">
        <v>12.55</v>
      </c>
      <c r="H58" s="3" t="s">
        <v>45</v>
      </c>
      <c r="I58" s="2">
        <f t="shared" si="0"/>
        <v>5064.1900000000005</v>
      </c>
      <c r="L58" s="2"/>
      <c r="M58" s="5"/>
    </row>
    <row r="59" spans="1:13" x14ac:dyDescent="0.25">
      <c r="A59">
        <v>53</v>
      </c>
      <c r="C59" s="1">
        <v>43024</v>
      </c>
      <c r="D59" t="s">
        <v>94</v>
      </c>
      <c r="E59" s="1" t="s">
        <v>95</v>
      </c>
      <c r="G59" s="2">
        <v>7.67</v>
      </c>
      <c r="H59" s="3" t="s">
        <v>45</v>
      </c>
      <c r="I59" s="2">
        <f t="shared" si="0"/>
        <v>5056.5200000000004</v>
      </c>
      <c r="J59" s="6" t="s">
        <v>34</v>
      </c>
      <c r="L59" s="2"/>
      <c r="M59" s="5"/>
    </row>
    <row r="60" spans="1:13" x14ac:dyDescent="0.25">
      <c r="A60">
        <v>54</v>
      </c>
      <c r="C60" s="1">
        <v>43026</v>
      </c>
      <c r="D60" t="s">
        <v>15</v>
      </c>
      <c r="E60" s="1" t="s">
        <v>80</v>
      </c>
      <c r="G60" s="2">
        <v>3.68</v>
      </c>
      <c r="H60" s="3" t="s">
        <v>45</v>
      </c>
      <c r="I60" s="2">
        <f t="shared" si="0"/>
        <v>5052.84</v>
      </c>
      <c r="L60" s="3"/>
      <c r="M60" s="5"/>
    </row>
    <row r="61" spans="1:13" x14ac:dyDescent="0.25">
      <c r="A61">
        <v>55</v>
      </c>
      <c r="C61" s="1">
        <v>43026</v>
      </c>
      <c r="D61" t="s">
        <v>96</v>
      </c>
      <c r="E61" s="1" t="s">
        <v>97</v>
      </c>
      <c r="G61" s="2">
        <v>2.6</v>
      </c>
      <c r="H61" s="3" t="s">
        <v>45</v>
      </c>
      <c r="I61" s="2">
        <f t="shared" si="0"/>
        <v>5050.24</v>
      </c>
      <c r="L61" s="3"/>
      <c r="M61" s="5"/>
    </row>
    <row r="62" spans="1:13" x14ac:dyDescent="0.25">
      <c r="A62">
        <v>56</v>
      </c>
      <c r="C62" s="1">
        <v>43027</v>
      </c>
      <c r="D62" t="s">
        <v>67</v>
      </c>
      <c r="E62" s="1" t="s">
        <v>99</v>
      </c>
      <c r="G62" s="2">
        <v>16.84</v>
      </c>
      <c r="H62" s="3" t="s">
        <v>45</v>
      </c>
      <c r="I62" s="2">
        <f t="shared" si="0"/>
        <v>5033.3999999999996</v>
      </c>
      <c r="L62" s="3"/>
      <c r="M62" s="5"/>
    </row>
    <row r="63" spans="1:13" x14ac:dyDescent="0.25">
      <c r="A63">
        <v>57</v>
      </c>
      <c r="C63" s="1">
        <v>43027</v>
      </c>
      <c r="D63" t="s">
        <v>59</v>
      </c>
      <c r="E63" s="1" t="s">
        <v>98</v>
      </c>
      <c r="G63" s="2">
        <v>11.15</v>
      </c>
      <c r="H63" s="3" t="s">
        <v>45</v>
      </c>
      <c r="I63" s="2">
        <f t="shared" si="0"/>
        <v>5022.25</v>
      </c>
      <c r="J63" s="6" t="s">
        <v>34</v>
      </c>
      <c r="M63" s="5"/>
    </row>
    <row r="64" spans="1:13" x14ac:dyDescent="0.25">
      <c r="A64">
        <v>58</v>
      </c>
      <c r="C64" s="1">
        <v>43028</v>
      </c>
      <c r="D64" t="s">
        <v>61</v>
      </c>
      <c r="E64" s="1" t="s">
        <v>105</v>
      </c>
      <c r="G64" s="2">
        <v>20</v>
      </c>
      <c r="H64" s="3" t="s">
        <v>245</v>
      </c>
      <c r="I64" s="2">
        <f t="shared" si="0"/>
        <v>5002.25</v>
      </c>
      <c r="M64" s="5"/>
    </row>
    <row r="65" spans="1:13" x14ac:dyDescent="0.25">
      <c r="A65">
        <v>59</v>
      </c>
      <c r="C65" s="1">
        <v>43028</v>
      </c>
      <c r="D65" t="s">
        <v>11</v>
      </c>
      <c r="E65" s="1" t="s">
        <v>100</v>
      </c>
      <c r="G65" s="2">
        <v>320</v>
      </c>
      <c r="H65" s="3" t="s">
        <v>246</v>
      </c>
      <c r="I65" s="2">
        <f t="shared" si="0"/>
        <v>4682.25</v>
      </c>
      <c r="J65" s="6" t="s">
        <v>102</v>
      </c>
      <c r="L65" s="8" t="s">
        <v>103</v>
      </c>
    </row>
    <row r="66" spans="1:13" x14ac:dyDescent="0.25">
      <c r="B66">
        <v>5</v>
      </c>
      <c r="C66" s="1">
        <v>43028</v>
      </c>
      <c r="D66" t="s">
        <v>11</v>
      </c>
      <c r="E66" s="1" t="s">
        <v>100</v>
      </c>
      <c r="F66" s="2">
        <v>40</v>
      </c>
      <c r="I66" s="2">
        <f t="shared" si="0"/>
        <v>4722.25</v>
      </c>
      <c r="J66" s="6" t="s">
        <v>101</v>
      </c>
      <c r="L66" s="9" t="s">
        <v>104</v>
      </c>
      <c r="M66" s="5" t="s">
        <v>114</v>
      </c>
    </row>
    <row r="67" spans="1:13" x14ac:dyDescent="0.25">
      <c r="A67">
        <v>60</v>
      </c>
      <c r="C67" s="1">
        <v>43028</v>
      </c>
      <c r="D67" t="s">
        <v>106</v>
      </c>
      <c r="E67" s="1" t="s">
        <v>107</v>
      </c>
      <c r="G67" s="2">
        <v>17</v>
      </c>
      <c r="H67" s="3" t="s">
        <v>45</v>
      </c>
      <c r="I67" s="2">
        <f t="shared" si="0"/>
        <v>4705.25</v>
      </c>
      <c r="L67" s="10" t="s">
        <v>109</v>
      </c>
      <c r="M67" s="5"/>
    </row>
    <row r="68" spans="1:13" x14ac:dyDescent="0.25">
      <c r="A68">
        <v>61</v>
      </c>
      <c r="C68" s="1">
        <v>43029</v>
      </c>
      <c r="D68" t="s">
        <v>41</v>
      </c>
      <c r="E68" s="1" t="s">
        <v>108</v>
      </c>
      <c r="G68" s="2">
        <v>11.84</v>
      </c>
      <c r="H68" s="3" t="s">
        <v>45</v>
      </c>
      <c r="I68" s="2">
        <f t="shared" ref="I68:I118" si="1">(I67+F68-G68)</f>
        <v>4693.41</v>
      </c>
      <c r="L68" s="9" t="s">
        <v>112</v>
      </c>
      <c r="M68" s="5" t="s">
        <v>114</v>
      </c>
    </row>
    <row r="69" spans="1:13" x14ac:dyDescent="0.25">
      <c r="A69">
        <v>62</v>
      </c>
      <c r="C69" s="1">
        <v>43029</v>
      </c>
      <c r="D69" t="s">
        <v>63</v>
      </c>
      <c r="E69" s="1" t="s">
        <v>17</v>
      </c>
      <c r="G69" s="2">
        <v>19.89</v>
      </c>
      <c r="H69" s="3" t="s">
        <v>17</v>
      </c>
      <c r="I69" s="2">
        <f t="shared" si="1"/>
        <v>4673.5199999999995</v>
      </c>
      <c r="L69" s="11" t="s">
        <v>110</v>
      </c>
      <c r="M69" s="5" t="s">
        <v>115</v>
      </c>
    </row>
    <row r="70" spans="1:13" x14ac:dyDescent="0.25">
      <c r="A70">
        <v>63</v>
      </c>
      <c r="C70" s="1">
        <v>43029</v>
      </c>
      <c r="D70" t="s">
        <v>11</v>
      </c>
      <c r="E70" s="1" t="s">
        <v>100</v>
      </c>
      <c r="G70" s="2">
        <v>40</v>
      </c>
      <c r="H70" s="3" t="s">
        <v>246</v>
      </c>
      <c r="I70" s="2">
        <f t="shared" si="1"/>
        <v>4633.5199999999995</v>
      </c>
      <c r="J70" s="6" t="s">
        <v>102</v>
      </c>
      <c r="L70" s="3" t="s">
        <v>113</v>
      </c>
      <c r="M70" s="5" t="s">
        <v>114</v>
      </c>
    </row>
    <row r="71" spans="1:13" x14ac:dyDescent="0.25">
      <c r="A71">
        <v>64</v>
      </c>
      <c r="C71" s="1">
        <v>43030</v>
      </c>
      <c r="D71" t="s">
        <v>67</v>
      </c>
      <c r="E71" s="1" t="s">
        <v>111</v>
      </c>
      <c r="G71" s="2">
        <v>15.71</v>
      </c>
      <c r="H71" s="3" t="s">
        <v>45</v>
      </c>
      <c r="I71" s="2">
        <f t="shared" si="1"/>
        <v>4617.8099999999995</v>
      </c>
      <c r="L71" s="3"/>
      <c r="M71" s="5"/>
    </row>
    <row r="72" spans="1:13" x14ac:dyDescent="0.25">
      <c r="A72">
        <v>65</v>
      </c>
      <c r="C72" s="1">
        <v>43031</v>
      </c>
      <c r="D72" t="s">
        <v>15</v>
      </c>
      <c r="E72" s="1" t="s">
        <v>80</v>
      </c>
      <c r="G72" s="2">
        <v>5.32</v>
      </c>
      <c r="H72" s="3" t="s">
        <v>45</v>
      </c>
      <c r="I72" s="2">
        <f t="shared" si="1"/>
        <v>4612.49</v>
      </c>
      <c r="L72" s="3"/>
      <c r="M72" s="5"/>
    </row>
    <row r="73" spans="1:13" x14ac:dyDescent="0.25">
      <c r="A73">
        <v>66</v>
      </c>
      <c r="C73" s="1">
        <v>43032</v>
      </c>
      <c r="D73" t="s">
        <v>117</v>
      </c>
      <c r="E73" s="1" t="s">
        <v>116</v>
      </c>
      <c r="G73" s="2">
        <v>9.0299999999999994</v>
      </c>
      <c r="H73" s="3" t="s">
        <v>45</v>
      </c>
      <c r="I73" s="2">
        <f t="shared" si="1"/>
        <v>4603.46</v>
      </c>
      <c r="L73" s="2"/>
      <c r="M73" s="5"/>
    </row>
    <row r="74" spans="1:13" x14ac:dyDescent="0.25">
      <c r="A74">
        <v>67</v>
      </c>
      <c r="C74" s="1">
        <v>43033</v>
      </c>
      <c r="D74" t="s">
        <v>15</v>
      </c>
      <c r="E74" s="1" t="s">
        <v>80</v>
      </c>
      <c r="G74" s="2">
        <v>5.32</v>
      </c>
      <c r="H74" s="3" t="s">
        <v>45</v>
      </c>
      <c r="I74" s="2">
        <f t="shared" si="1"/>
        <v>4598.1400000000003</v>
      </c>
      <c r="L74" s="2"/>
      <c r="M74" s="5"/>
    </row>
    <row r="75" spans="1:13" x14ac:dyDescent="0.25">
      <c r="A75">
        <v>68</v>
      </c>
      <c r="C75" s="1">
        <v>43034</v>
      </c>
      <c r="D75" t="s">
        <v>141</v>
      </c>
      <c r="E75" s="1" t="s">
        <v>142</v>
      </c>
      <c r="G75" s="2">
        <v>40</v>
      </c>
      <c r="H75" s="3" t="s">
        <v>46</v>
      </c>
      <c r="I75" s="2">
        <f t="shared" si="1"/>
        <v>4558.1400000000003</v>
      </c>
      <c r="L75" s="2"/>
      <c r="M75" s="5"/>
    </row>
    <row r="76" spans="1:13" x14ac:dyDescent="0.25">
      <c r="A76">
        <v>69</v>
      </c>
      <c r="C76" s="1">
        <v>43034</v>
      </c>
      <c r="D76" t="s">
        <v>119</v>
      </c>
      <c r="E76" s="1" t="s">
        <v>118</v>
      </c>
      <c r="G76" s="2">
        <v>24.94</v>
      </c>
      <c r="H76" s="3" t="s">
        <v>45</v>
      </c>
      <c r="I76" s="2">
        <f t="shared" si="1"/>
        <v>4533.2000000000007</v>
      </c>
      <c r="L76" s="2"/>
      <c r="M76" s="5"/>
    </row>
    <row r="77" spans="1:13" x14ac:dyDescent="0.25">
      <c r="A77">
        <v>70</v>
      </c>
      <c r="C77" s="1">
        <v>43034</v>
      </c>
      <c r="D77" t="s">
        <v>120</v>
      </c>
      <c r="E77" s="1" t="s">
        <v>121</v>
      </c>
      <c r="G77" s="2">
        <v>24.61</v>
      </c>
      <c r="H77" s="3" t="s">
        <v>251</v>
      </c>
      <c r="I77" s="2">
        <f t="shared" si="1"/>
        <v>4508.5900000000011</v>
      </c>
      <c r="L77" s="2"/>
      <c r="M77" s="5"/>
    </row>
    <row r="78" spans="1:13" x14ac:dyDescent="0.25">
      <c r="B78">
        <v>6</v>
      </c>
      <c r="C78" s="1">
        <v>43035</v>
      </c>
      <c r="D78" t="s">
        <v>11</v>
      </c>
      <c r="E78" s="1" t="s">
        <v>139</v>
      </c>
      <c r="F78" s="2">
        <v>395.29</v>
      </c>
      <c r="I78" s="2">
        <f t="shared" si="1"/>
        <v>4903.880000000001</v>
      </c>
      <c r="L78" s="2"/>
      <c r="M78" s="5"/>
    </row>
    <row r="79" spans="1:13" x14ac:dyDescent="0.25">
      <c r="A79">
        <v>71</v>
      </c>
      <c r="C79" s="1">
        <v>43035</v>
      </c>
      <c r="D79" t="s">
        <v>122</v>
      </c>
      <c r="E79" s="1" t="s">
        <v>123</v>
      </c>
      <c r="G79" s="2">
        <v>12.93</v>
      </c>
      <c r="H79" s="3" t="s">
        <v>45</v>
      </c>
      <c r="I79" s="2">
        <f t="shared" si="1"/>
        <v>4890.9500000000007</v>
      </c>
      <c r="L79" s="2"/>
      <c r="M79" s="5"/>
    </row>
    <row r="80" spans="1:13" x14ac:dyDescent="0.25">
      <c r="A80">
        <v>72</v>
      </c>
      <c r="C80" s="1">
        <v>43035</v>
      </c>
      <c r="D80" t="s">
        <v>164</v>
      </c>
      <c r="E80" s="1" t="s">
        <v>145</v>
      </c>
      <c r="G80" s="2">
        <v>7.78</v>
      </c>
      <c r="H80" s="3" t="s">
        <v>45</v>
      </c>
      <c r="I80" s="2">
        <f t="shared" si="1"/>
        <v>4883.170000000001</v>
      </c>
      <c r="J80" s="6" t="s">
        <v>34</v>
      </c>
      <c r="L80" s="2"/>
      <c r="M80" s="5"/>
    </row>
    <row r="81" spans="1:13" x14ac:dyDescent="0.25">
      <c r="A81">
        <v>73</v>
      </c>
      <c r="C81" s="1">
        <v>43036</v>
      </c>
      <c r="D81" t="s">
        <v>6</v>
      </c>
      <c r="E81" s="1" t="s">
        <v>73</v>
      </c>
      <c r="G81" s="2">
        <v>8.99</v>
      </c>
      <c r="H81" s="3" t="s">
        <v>45</v>
      </c>
      <c r="I81" s="2">
        <f t="shared" si="1"/>
        <v>4874.1800000000012</v>
      </c>
      <c r="L81" s="2"/>
      <c r="M81" s="5"/>
    </row>
    <row r="82" spans="1:13" x14ac:dyDescent="0.25">
      <c r="A82">
        <v>74</v>
      </c>
      <c r="C82" s="1">
        <v>43037</v>
      </c>
      <c r="D82" t="s">
        <v>35</v>
      </c>
      <c r="E82" s="1" t="s">
        <v>124</v>
      </c>
      <c r="G82" s="2">
        <v>10.5</v>
      </c>
      <c r="H82" s="3" t="s">
        <v>45</v>
      </c>
      <c r="I82" s="2">
        <f t="shared" si="1"/>
        <v>4863.6800000000012</v>
      </c>
      <c r="L82" s="2"/>
      <c r="M82" s="5"/>
    </row>
    <row r="83" spans="1:13" x14ac:dyDescent="0.25">
      <c r="B83">
        <v>7</v>
      </c>
      <c r="C83" s="1">
        <v>43038</v>
      </c>
      <c r="D83" t="s">
        <v>11</v>
      </c>
      <c r="E83" s="1" t="s">
        <v>144</v>
      </c>
      <c r="F83" s="2">
        <v>100</v>
      </c>
      <c r="I83" s="2">
        <f t="shared" si="1"/>
        <v>4963.6800000000012</v>
      </c>
      <c r="J83" s="6" t="s">
        <v>143</v>
      </c>
      <c r="L83" s="19" t="s">
        <v>324</v>
      </c>
      <c r="M83" s="5"/>
    </row>
    <row r="84" spans="1:13" x14ac:dyDescent="0.25">
      <c r="A84">
        <v>75</v>
      </c>
      <c r="C84" s="1">
        <v>43038</v>
      </c>
      <c r="D84" t="s">
        <v>96</v>
      </c>
      <c r="E84" s="1" t="s">
        <v>125</v>
      </c>
      <c r="G84" s="2">
        <v>6.5</v>
      </c>
      <c r="H84" s="3" t="s">
        <v>45</v>
      </c>
      <c r="I84" s="2">
        <f t="shared" si="1"/>
        <v>4957.1800000000012</v>
      </c>
      <c r="L84" s="15">
        <f>SUM(G45:G85)-G46</f>
        <v>805.37999999999988</v>
      </c>
      <c r="M84" s="5"/>
    </row>
    <row r="85" spans="1:13" x14ac:dyDescent="0.25">
      <c r="A85">
        <v>76</v>
      </c>
      <c r="C85" s="1">
        <v>43039</v>
      </c>
      <c r="D85" t="s">
        <v>126</v>
      </c>
      <c r="E85" s="1" t="s">
        <v>127</v>
      </c>
      <c r="G85" s="2">
        <v>5.5</v>
      </c>
      <c r="H85" s="3" t="s">
        <v>44</v>
      </c>
      <c r="I85" s="2">
        <f t="shared" si="1"/>
        <v>4951.6800000000012</v>
      </c>
      <c r="L85" s="16">
        <f>L84/L12</f>
        <v>6.4520367200023729E-2</v>
      </c>
      <c r="M85" s="5"/>
    </row>
    <row r="86" spans="1:13" x14ac:dyDescent="0.25">
      <c r="A86">
        <v>77</v>
      </c>
      <c r="C86" s="1">
        <v>43040</v>
      </c>
      <c r="D86" t="s">
        <v>67</v>
      </c>
      <c r="E86" s="1" t="s">
        <v>128</v>
      </c>
      <c r="G86" s="2">
        <v>5.42</v>
      </c>
      <c r="H86" s="3" t="s">
        <v>45</v>
      </c>
      <c r="I86" s="2">
        <f t="shared" si="1"/>
        <v>4946.2600000000011</v>
      </c>
      <c r="M86" s="5"/>
    </row>
    <row r="87" spans="1:13" x14ac:dyDescent="0.25">
      <c r="A87">
        <v>78</v>
      </c>
      <c r="C87" s="1">
        <v>43041</v>
      </c>
      <c r="D87" t="s">
        <v>11</v>
      </c>
      <c r="E87" s="1" t="s">
        <v>76</v>
      </c>
      <c r="G87" s="2">
        <v>560</v>
      </c>
      <c r="H87" s="3" t="s">
        <v>76</v>
      </c>
      <c r="I87" s="2">
        <f t="shared" si="1"/>
        <v>4386.2600000000011</v>
      </c>
      <c r="L87" s="2"/>
      <c r="M87" s="5"/>
    </row>
    <row r="88" spans="1:13" x14ac:dyDescent="0.25">
      <c r="A88">
        <v>79</v>
      </c>
      <c r="C88" s="1">
        <v>43041</v>
      </c>
      <c r="D88" t="s">
        <v>129</v>
      </c>
      <c r="E88" s="1" t="s">
        <v>130</v>
      </c>
      <c r="G88" s="2">
        <v>3.35</v>
      </c>
      <c r="H88" s="3" t="s">
        <v>45</v>
      </c>
      <c r="I88" s="2">
        <f t="shared" si="1"/>
        <v>4382.9100000000008</v>
      </c>
      <c r="J88" s="6" t="s">
        <v>34</v>
      </c>
      <c r="L88" s="2"/>
      <c r="M88" s="5"/>
    </row>
    <row r="89" spans="1:13" x14ac:dyDescent="0.25">
      <c r="B89">
        <v>8</v>
      </c>
      <c r="C89" s="1">
        <v>43043</v>
      </c>
      <c r="D89" t="s">
        <v>11</v>
      </c>
      <c r="E89" s="1" t="s">
        <v>131</v>
      </c>
      <c r="F89" s="2">
        <v>92</v>
      </c>
      <c r="I89" s="2">
        <f t="shared" si="1"/>
        <v>4474.9100000000008</v>
      </c>
      <c r="J89" s="6" t="s">
        <v>132</v>
      </c>
      <c r="L89" s="12" t="s">
        <v>133</v>
      </c>
      <c r="M89" s="5"/>
    </row>
    <row r="90" spans="1:13" x14ac:dyDescent="0.25">
      <c r="B90">
        <v>9</v>
      </c>
      <c r="C90" s="1">
        <v>43043</v>
      </c>
      <c r="D90" t="s">
        <v>11</v>
      </c>
      <c r="E90" s="1" t="s">
        <v>77</v>
      </c>
      <c r="F90" s="2">
        <v>716.67</v>
      </c>
      <c r="I90" s="2">
        <f t="shared" si="1"/>
        <v>5191.5800000000008</v>
      </c>
      <c r="L90" s="10" t="s">
        <v>134</v>
      </c>
      <c r="M90" s="5"/>
    </row>
    <row r="91" spans="1:13" x14ac:dyDescent="0.25">
      <c r="B91">
        <v>10</v>
      </c>
      <c r="C91" s="1">
        <v>43043</v>
      </c>
      <c r="D91" t="s">
        <v>11</v>
      </c>
      <c r="E91" s="1" t="s">
        <v>140</v>
      </c>
      <c r="F91" s="2">
        <v>0.02</v>
      </c>
      <c r="I91" s="2">
        <f>(I90+F91-G91)</f>
        <v>5191.6000000000013</v>
      </c>
      <c r="L91" s="10" t="s">
        <v>135</v>
      </c>
      <c r="M91" s="5"/>
    </row>
    <row r="92" spans="1:13" x14ac:dyDescent="0.25">
      <c r="A92">
        <v>80</v>
      </c>
      <c r="C92" s="1">
        <v>43043</v>
      </c>
      <c r="D92" t="s">
        <v>146</v>
      </c>
      <c r="E92" s="1" t="s">
        <v>147</v>
      </c>
      <c r="G92" s="2">
        <v>2.81</v>
      </c>
      <c r="H92" s="3" t="s">
        <v>45</v>
      </c>
      <c r="I92" s="2">
        <f t="shared" si="1"/>
        <v>5188.7900000000009</v>
      </c>
      <c r="J92" s="6" t="s">
        <v>34</v>
      </c>
      <c r="L92" s="10" t="s">
        <v>136</v>
      </c>
      <c r="M92" s="5"/>
    </row>
    <row r="93" spans="1:13" x14ac:dyDescent="0.25">
      <c r="A93">
        <v>81</v>
      </c>
      <c r="C93" s="1">
        <v>43044</v>
      </c>
      <c r="D93" t="s">
        <v>63</v>
      </c>
      <c r="E93" s="1" t="s">
        <v>17</v>
      </c>
      <c r="G93" s="2">
        <v>44.12</v>
      </c>
      <c r="H93" s="3" t="s">
        <v>17</v>
      </c>
      <c r="I93" s="2">
        <f t="shared" si="1"/>
        <v>5144.670000000001</v>
      </c>
      <c r="L93" s="10" t="s">
        <v>137</v>
      </c>
      <c r="M93" s="5"/>
    </row>
    <row r="94" spans="1:13" x14ac:dyDescent="0.25">
      <c r="A94">
        <v>82</v>
      </c>
      <c r="C94" s="1">
        <v>43044</v>
      </c>
      <c r="D94" t="s">
        <v>67</v>
      </c>
      <c r="E94" s="1" t="s">
        <v>128</v>
      </c>
      <c r="G94" s="2">
        <v>6.55</v>
      </c>
      <c r="H94" s="3" t="s">
        <v>45</v>
      </c>
      <c r="I94" s="2">
        <f t="shared" si="1"/>
        <v>5138.1200000000008</v>
      </c>
      <c r="L94" s="11" t="s">
        <v>138</v>
      </c>
      <c r="M94" s="5"/>
    </row>
    <row r="95" spans="1:13" x14ac:dyDescent="0.25">
      <c r="B95">
        <v>11</v>
      </c>
      <c r="C95" s="1">
        <v>43045</v>
      </c>
      <c r="D95" t="s">
        <v>11</v>
      </c>
      <c r="E95" s="1" t="s">
        <v>156</v>
      </c>
      <c r="F95" s="2">
        <v>186.76</v>
      </c>
      <c r="I95" s="2">
        <f t="shared" si="1"/>
        <v>5324.880000000001</v>
      </c>
      <c r="L95" s="13"/>
      <c r="M95" s="5"/>
    </row>
    <row r="96" spans="1:13" x14ac:dyDescent="0.25">
      <c r="A96">
        <v>83</v>
      </c>
      <c r="C96" s="1">
        <v>43045</v>
      </c>
      <c r="D96" t="s">
        <v>11</v>
      </c>
      <c r="E96" s="1" t="s">
        <v>148</v>
      </c>
      <c r="G96" s="2">
        <v>9</v>
      </c>
      <c r="H96" s="3" t="s">
        <v>46</v>
      </c>
      <c r="I96" s="2">
        <f t="shared" si="1"/>
        <v>5315.880000000001</v>
      </c>
      <c r="L96" s="2"/>
      <c r="M96" s="5"/>
    </row>
    <row r="97" spans="1:13" x14ac:dyDescent="0.25">
      <c r="A97">
        <v>84</v>
      </c>
      <c r="C97" s="1">
        <v>43046</v>
      </c>
      <c r="D97" t="s">
        <v>117</v>
      </c>
      <c r="E97" s="1" t="s">
        <v>149</v>
      </c>
      <c r="G97" s="2">
        <v>11.18</v>
      </c>
      <c r="H97" s="3" t="s">
        <v>45</v>
      </c>
      <c r="I97" s="2">
        <f t="shared" si="1"/>
        <v>5304.7000000000007</v>
      </c>
      <c r="L97" s="2"/>
      <c r="M97" s="5"/>
    </row>
    <row r="98" spans="1:13" x14ac:dyDescent="0.25">
      <c r="A98">
        <v>85</v>
      </c>
      <c r="C98" s="1">
        <v>43047</v>
      </c>
      <c r="D98" t="s">
        <v>150</v>
      </c>
      <c r="E98" s="1" t="s">
        <v>151</v>
      </c>
      <c r="G98" s="2">
        <v>9.5</v>
      </c>
      <c r="H98" s="3" t="s">
        <v>45</v>
      </c>
      <c r="I98" s="2">
        <f t="shared" si="1"/>
        <v>5295.2000000000007</v>
      </c>
      <c r="J98" s="6" t="s">
        <v>34</v>
      </c>
      <c r="L98" s="2"/>
      <c r="M98" s="5"/>
    </row>
    <row r="99" spans="1:13" x14ac:dyDescent="0.25">
      <c r="A99">
        <v>86</v>
      </c>
      <c r="C99" s="1">
        <v>43047</v>
      </c>
      <c r="D99" t="s">
        <v>23</v>
      </c>
      <c r="E99" s="1" t="s">
        <v>153</v>
      </c>
      <c r="G99" s="2">
        <v>1.77</v>
      </c>
      <c r="H99" s="3" t="s">
        <v>45</v>
      </c>
      <c r="I99" s="2">
        <f t="shared" si="1"/>
        <v>5293.43</v>
      </c>
      <c r="J99" s="6" t="s">
        <v>34</v>
      </c>
      <c r="L99" s="2"/>
      <c r="M99" s="5"/>
    </row>
    <row r="100" spans="1:13" x14ac:dyDescent="0.25">
      <c r="A100">
        <v>87</v>
      </c>
      <c r="C100" s="1">
        <v>43048</v>
      </c>
      <c r="D100" t="s">
        <v>126</v>
      </c>
      <c r="E100" s="1" t="s">
        <v>152</v>
      </c>
      <c r="G100" s="2">
        <v>3.38</v>
      </c>
      <c r="H100" s="3" t="s">
        <v>44</v>
      </c>
      <c r="I100" s="2">
        <f t="shared" si="1"/>
        <v>5290.05</v>
      </c>
      <c r="L100" s="2"/>
      <c r="M100" s="5"/>
    </row>
    <row r="101" spans="1:13" x14ac:dyDescent="0.25">
      <c r="A101">
        <v>88</v>
      </c>
      <c r="C101" s="1">
        <v>43048</v>
      </c>
      <c r="D101" t="s">
        <v>96</v>
      </c>
      <c r="E101" s="1" t="s">
        <v>157</v>
      </c>
      <c r="G101" s="2">
        <v>4.33</v>
      </c>
      <c r="H101" s="3" t="s">
        <v>45</v>
      </c>
      <c r="I101" s="2">
        <f t="shared" si="1"/>
        <v>5285.72</v>
      </c>
      <c r="L101" s="2"/>
      <c r="M101" s="5"/>
    </row>
    <row r="102" spans="1:13" x14ac:dyDescent="0.25">
      <c r="A102">
        <v>89</v>
      </c>
      <c r="C102" s="1">
        <v>43049</v>
      </c>
      <c r="D102" t="s">
        <v>154</v>
      </c>
      <c r="E102" s="1" t="s">
        <v>155</v>
      </c>
      <c r="G102" s="2">
        <v>3.19</v>
      </c>
      <c r="H102" s="3" t="s">
        <v>45</v>
      </c>
      <c r="I102" s="2">
        <f t="shared" si="1"/>
        <v>5282.5300000000007</v>
      </c>
      <c r="J102" s="6" t="s">
        <v>34</v>
      </c>
      <c r="L102" s="2"/>
      <c r="M102" s="5"/>
    </row>
    <row r="103" spans="1:13" x14ac:dyDescent="0.25">
      <c r="A103">
        <v>90</v>
      </c>
      <c r="C103" s="1">
        <v>43049</v>
      </c>
      <c r="D103" t="s">
        <v>15</v>
      </c>
      <c r="E103" s="1" t="s">
        <v>81</v>
      </c>
      <c r="G103" s="2">
        <v>2.94</v>
      </c>
      <c r="H103" s="3" t="s">
        <v>45</v>
      </c>
      <c r="I103" s="2">
        <f t="shared" si="1"/>
        <v>5279.5900000000011</v>
      </c>
      <c r="L103" s="2"/>
      <c r="M103" s="5"/>
    </row>
    <row r="104" spans="1:13" x14ac:dyDescent="0.25">
      <c r="A104">
        <v>91</v>
      </c>
      <c r="C104" s="1">
        <v>43050</v>
      </c>
      <c r="D104" t="s">
        <v>158</v>
      </c>
      <c r="E104" s="1" t="s">
        <v>159</v>
      </c>
      <c r="G104" s="2">
        <v>8.14</v>
      </c>
      <c r="H104" s="3" t="s">
        <v>45</v>
      </c>
      <c r="I104" s="2">
        <f t="shared" si="1"/>
        <v>5271.4500000000007</v>
      </c>
      <c r="J104" s="6" t="s">
        <v>34</v>
      </c>
      <c r="L104" s="2"/>
      <c r="M104" s="5"/>
    </row>
    <row r="105" spans="1:13" x14ac:dyDescent="0.25">
      <c r="A105">
        <v>92</v>
      </c>
      <c r="C105" s="1">
        <v>43050</v>
      </c>
      <c r="D105" t="s">
        <v>160</v>
      </c>
      <c r="E105" s="1" t="s">
        <v>161</v>
      </c>
      <c r="G105" s="2">
        <v>33</v>
      </c>
      <c r="H105" s="3" t="s">
        <v>45</v>
      </c>
      <c r="I105" s="2">
        <f t="shared" si="1"/>
        <v>5238.4500000000007</v>
      </c>
      <c r="J105" s="6" t="s">
        <v>34</v>
      </c>
      <c r="L105" s="2"/>
      <c r="M105" s="5"/>
    </row>
    <row r="106" spans="1:13" x14ac:dyDescent="0.25">
      <c r="A106">
        <v>93</v>
      </c>
      <c r="C106" s="1">
        <v>43051</v>
      </c>
      <c r="D106" t="s">
        <v>67</v>
      </c>
      <c r="E106" s="1" t="s">
        <v>128</v>
      </c>
      <c r="G106" s="2">
        <v>5.99</v>
      </c>
      <c r="H106" s="3" t="s">
        <v>45</v>
      </c>
      <c r="I106" s="2">
        <f t="shared" si="1"/>
        <v>5232.4600000000009</v>
      </c>
      <c r="K106" s="4"/>
      <c r="L106" s="2"/>
      <c r="M106" s="5"/>
    </row>
    <row r="107" spans="1:13" x14ac:dyDescent="0.25">
      <c r="A107">
        <v>94</v>
      </c>
      <c r="C107" s="1">
        <v>43052</v>
      </c>
      <c r="D107" t="s">
        <v>15</v>
      </c>
      <c r="E107" s="1" t="s">
        <v>97</v>
      </c>
      <c r="G107" s="2">
        <v>1.89</v>
      </c>
      <c r="H107" s="3" t="s">
        <v>45</v>
      </c>
      <c r="I107" s="2">
        <f t="shared" si="1"/>
        <v>5230.5700000000006</v>
      </c>
      <c r="L107" s="2"/>
      <c r="M107" s="5"/>
    </row>
    <row r="108" spans="1:13" x14ac:dyDescent="0.25">
      <c r="A108">
        <v>95</v>
      </c>
      <c r="C108" s="1">
        <v>43052</v>
      </c>
      <c r="D108" t="s">
        <v>35</v>
      </c>
      <c r="E108" s="1" t="s">
        <v>162</v>
      </c>
      <c r="G108" s="2">
        <v>10.5</v>
      </c>
      <c r="H108" s="3" t="s">
        <v>45</v>
      </c>
      <c r="I108" s="2">
        <f t="shared" si="1"/>
        <v>5220.0700000000006</v>
      </c>
      <c r="L108" s="2"/>
      <c r="M108" s="5"/>
    </row>
    <row r="109" spans="1:13" x14ac:dyDescent="0.25">
      <c r="A109">
        <v>96</v>
      </c>
      <c r="C109" s="1">
        <v>43052</v>
      </c>
      <c r="D109" t="s">
        <v>164</v>
      </c>
      <c r="E109" s="1" t="s">
        <v>145</v>
      </c>
      <c r="G109" s="2">
        <v>7.78</v>
      </c>
      <c r="H109" s="3" t="s">
        <v>45</v>
      </c>
      <c r="I109" s="2">
        <f t="shared" si="1"/>
        <v>5212.2900000000009</v>
      </c>
      <c r="J109" s="6" t="s">
        <v>34</v>
      </c>
      <c r="L109" s="2"/>
      <c r="M109" s="5"/>
    </row>
    <row r="110" spans="1:13" x14ac:dyDescent="0.25">
      <c r="A110">
        <v>97</v>
      </c>
      <c r="C110" s="1">
        <v>43053</v>
      </c>
      <c r="D110" t="s">
        <v>163</v>
      </c>
      <c r="E110" s="1" t="s">
        <v>155</v>
      </c>
      <c r="G110" s="2">
        <v>1.91</v>
      </c>
      <c r="H110" s="3" t="s">
        <v>45</v>
      </c>
      <c r="I110" s="2">
        <f t="shared" si="1"/>
        <v>5210.380000000001</v>
      </c>
      <c r="J110" s="6" t="s">
        <v>34</v>
      </c>
      <c r="L110" s="2"/>
      <c r="M110" s="5"/>
    </row>
    <row r="111" spans="1:13" x14ac:dyDescent="0.25">
      <c r="A111">
        <v>98</v>
      </c>
      <c r="C111" s="1">
        <v>43053</v>
      </c>
      <c r="D111" t="s">
        <v>94</v>
      </c>
      <c r="E111" s="1" t="s">
        <v>165</v>
      </c>
      <c r="G111" s="2">
        <v>8.58</v>
      </c>
      <c r="H111" s="3" t="s">
        <v>45</v>
      </c>
      <c r="I111" s="2">
        <f t="shared" si="1"/>
        <v>5201.8000000000011</v>
      </c>
      <c r="J111" s="6" t="s">
        <v>34</v>
      </c>
      <c r="L111" s="2"/>
      <c r="M111" s="5"/>
    </row>
    <row r="112" spans="1:13" x14ac:dyDescent="0.25">
      <c r="A112">
        <v>99</v>
      </c>
      <c r="C112" s="1">
        <v>43054</v>
      </c>
      <c r="D112" t="s">
        <v>35</v>
      </c>
      <c r="E112" s="1" t="s">
        <v>166</v>
      </c>
      <c r="G112" s="2">
        <v>10.5</v>
      </c>
      <c r="H112" s="3" t="s">
        <v>45</v>
      </c>
      <c r="I112" s="2">
        <f t="shared" si="1"/>
        <v>5191.3000000000011</v>
      </c>
      <c r="L112" s="2"/>
      <c r="M112" s="5"/>
    </row>
    <row r="113" spans="1:13" x14ac:dyDescent="0.25">
      <c r="A113">
        <v>100</v>
      </c>
      <c r="C113" s="1">
        <v>43055</v>
      </c>
      <c r="D113" t="s">
        <v>163</v>
      </c>
      <c r="E113" s="1" t="s">
        <v>167</v>
      </c>
      <c r="G113" s="2">
        <v>4.7</v>
      </c>
      <c r="H113" s="3" t="s">
        <v>45</v>
      </c>
      <c r="I113" s="2">
        <f t="shared" si="1"/>
        <v>5186.6000000000013</v>
      </c>
      <c r="J113" s="6" t="s">
        <v>34</v>
      </c>
      <c r="L113" s="2"/>
      <c r="M113" s="5"/>
    </row>
    <row r="114" spans="1:13" x14ac:dyDescent="0.25">
      <c r="A114">
        <v>101</v>
      </c>
      <c r="C114" s="1">
        <v>43055</v>
      </c>
      <c r="D114" t="s">
        <v>168</v>
      </c>
      <c r="E114" s="1" t="s">
        <v>169</v>
      </c>
      <c r="G114" s="2">
        <v>5.0999999999999996</v>
      </c>
      <c r="H114" s="3" t="s">
        <v>45</v>
      </c>
      <c r="I114" s="2">
        <f t="shared" si="1"/>
        <v>5181.5000000000009</v>
      </c>
      <c r="L114" s="2"/>
      <c r="M114" s="5"/>
    </row>
    <row r="115" spans="1:13" x14ac:dyDescent="0.25">
      <c r="A115">
        <v>102</v>
      </c>
      <c r="C115" s="1">
        <v>43056</v>
      </c>
      <c r="D115" t="s">
        <v>117</v>
      </c>
      <c r="E115" s="1" t="s">
        <v>116</v>
      </c>
      <c r="G115" s="2">
        <v>9.93</v>
      </c>
      <c r="H115" s="3" t="s">
        <v>45</v>
      </c>
      <c r="I115" s="2">
        <f t="shared" si="1"/>
        <v>5171.5700000000006</v>
      </c>
      <c r="L115" s="2"/>
      <c r="M115" s="5"/>
    </row>
    <row r="116" spans="1:13" x14ac:dyDescent="0.25">
      <c r="A116">
        <v>103</v>
      </c>
      <c r="C116" s="1">
        <v>43057</v>
      </c>
      <c r="D116" t="s">
        <v>171</v>
      </c>
      <c r="E116" s="1" t="s">
        <v>170</v>
      </c>
      <c r="G116" s="2">
        <v>5.08</v>
      </c>
      <c r="H116" s="3" t="s">
        <v>45</v>
      </c>
      <c r="I116" s="2">
        <f t="shared" si="1"/>
        <v>5166.4900000000007</v>
      </c>
      <c r="L116" s="2"/>
      <c r="M116" s="5"/>
    </row>
    <row r="117" spans="1:13" x14ac:dyDescent="0.25">
      <c r="A117">
        <v>104</v>
      </c>
      <c r="C117" s="1">
        <v>43057</v>
      </c>
      <c r="D117" t="s">
        <v>172</v>
      </c>
      <c r="E117" s="1" t="s">
        <v>173</v>
      </c>
      <c r="G117" s="2">
        <v>30</v>
      </c>
      <c r="H117" s="3" t="s">
        <v>45</v>
      </c>
      <c r="I117" s="2">
        <f t="shared" si="1"/>
        <v>5136.4900000000007</v>
      </c>
      <c r="L117" s="2"/>
      <c r="M117" s="5"/>
    </row>
    <row r="118" spans="1:13" x14ac:dyDescent="0.25">
      <c r="A118">
        <v>105</v>
      </c>
      <c r="C118" s="1">
        <v>43058</v>
      </c>
      <c r="D118" t="s">
        <v>146</v>
      </c>
      <c r="E118" s="1" t="s">
        <v>174</v>
      </c>
      <c r="G118" s="2">
        <v>8.85</v>
      </c>
      <c r="H118" s="3" t="s">
        <v>45</v>
      </c>
      <c r="I118" s="2">
        <f t="shared" si="1"/>
        <v>5127.6400000000003</v>
      </c>
      <c r="J118" s="6" t="s">
        <v>34</v>
      </c>
      <c r="L118" s="2"/>
      <c r="M118" s="5"/>
    </row>
    <row r="119" spans="1:13" x14ac:dyDescent="0.25">
      <c r="B119">
        <v>12</v>
      </c>
      <c r="C119" s="1">
        <v>43058</v>
      </c>
      <c r="D119" t="s">
        <v>11</v>
      </c>
      <c r="E119" s="1" t="s">
        <v>77</v>
      </c>
      <c r="F119" s="2">
        <v>336.67</v>
      </c>
      <c r="I119" s="2">
        <f>(I118+F119-G119)</f>
        <v>5464.31</v>
      </c>
      <c r="L119" s="2"/>
      <c r="M119" s="5"/>
    </row>
    <row r="120" spans="1:13" x14ac:dyDescent="0.25">
      <c r="A120">
        <v>106</v>
      </c>
      <c r="C120" s="1">
        <v>43059</v>
      </c>
      <c r="D120" t="s">
        <v>168</v>
      </c>
      <c r="E120" s="1" t="s">
        <v>175</v>
      </c>
      <c r="G120" s="2">
        <v>4.4000000000000004</v>
      </c>
      <c r="H120" s="3" t="s">
        <v>45</v>
      </c>
      <c r="I120" s="2">
        <f t="shared" ref="I120:I125" si="2">(I119+F120-G120)</f>
        <v>5459.9100000000008</v>
      </c>
      <c r="L120" s="2"/>
      <c r="M120" s="5"/>
    </row>
    <row r="121" spans="1:13" x14ac:dyDescent="0.25">
      <c r="A121">
        <v>107</v>
      </c>
      <c r="C121" s="1">
        <v>43059</v>
      </c>
      <c r="D121" t="s">
        <v>15</v>
      </c>
      <c r="E121" s="1" t="s">
        <v>62</v>
      </c>
      <c r="G121" s="2">
        <v>13.78</v>
      </c>
      <c r="H121" s="3" t="s">
        <v>45</v>
      </c>
      <c r="I121" s="2">
        <f t="shared" si="2"/>
        <v>5446.130000000001</v>
      </c>
      <c r="L121" s="2"/>
      <c r="M121" s="5"/>
    </row>
    <row r="122" spans="1:13" x14ac:dyDescent="0.25">
      <c r="A122">
        <v>108</v>
      </c>
      <c r="C122" s="1">
        <v>43060</v>
      </c>
      <c r="D122" t="s">
        <v>176</v>
      </c>
      <c r="E122" s="1" t="s">
        <v>40</v>
      </c>
      <c r="G122" s="2">
        <v>11.29</v>
      </c>
      <c r="H122" s="3" t="s">
        <v>46</v>
      </c>
      <c r="I122" s="2">
        <f t="shared" si="2"/>
        <v>5434.8400000000011</v>
      </c>
      <c r="L122" s="2"/>
      <c r="M122" s="5"/>
    </row>
    <row r="123" spans="1:13" x14ac:dyDescent="0.25">
      <c r="A123">
        <v>109</v>
      </c>
      <c r="C123" s="1">
        <v>43060</v>
      </c>
      <c r="D123" t="s">
        <v>32</v>
      </c>
      <c r="E123" s="1" t="s">
        <v>177</v>
      </c>
      <c r="G123" s="2">
        <v>8.64</v>
      </c>
      <c r="H123" s="3" t="s">
        <v>45</v>
      </c>
      <c r="I123" s="2">
        <f t="shared" si="2"/>
        <v>5426.2000000000007</v>
      </c>
      <c r="J123" s="6" t="s">
        <v>34</v>
      </c>
      <c r="L123" s="2"/>
      <c r="M123" s="5"/>
    </row>
    <row r="124" spans="1:13" x14ac:dyDescent="0.25">
      <c r="A124">
        <v>110</v>
      </c>
      <c r="C124" s="1">
        <v>43061</v>
      </c>
      <c r="D124" t="s">
        <v>117</v>
      </c>
      <c r="E124" s="1" t="s">
        <v>116</v>
      </c>
      <c r="G124" s="2">
        <v>9.93</v>
      </c>
      <c r="H124" s="3" t="s">
        <v>45</v>
      </c>
      <c r="I124" s="2">
        <f t="shared" si="2"/>
        <v>5416.27</v>
      </c>
      <c r="L124" s="2"/>
      <c r="M124" s="5"/>
    </row>
    <row r="125" spans="1:13" x14ac:dyDescent="0.25">
      <c r="A125">
        <v>111</v>
      </c>
      <c r="B125" s="14"/>
      <c r="C125" s="1">
        <v>43061</v>
      </c>
      <c r="D125" t="s">
        <v>120</v>
      </c>
      <c r="E125" s="1" t="s">
        <v>179</v>
      </c>
      <c r="G125" s="2">
        <v>23.59</v>
      </c>
      <c r="H125" s="3" t="s">
        <v>45</v>
      </c>
      <c r="I125" s="2">
        <f t="shared" si="2"/>
        <v>5392.68</v>
      </c>
      <c r="L125" s="2"/>
      <c r="M125" s="5"/>
    </row>
    <row r="126" spans="1:13" x14ac:dyDescent="0.25">
      <c r="A126">
        <v>112</v>
      </c>
      <c r="B126" s="14"/>
      <c r="C126" s="1">
        <v>43061</v>
      </c>
      <c r="D126" t="s">
        <v>120</v>
      </c>
      <c r="E126" s="1" t="s">
        <v>179</v>
      </c>
      <c r="G126" s="2">
        <v>25.64</v>
      </c>
      <c r="H126" s="3" t="s">
        <v>45</v>
      </c>
      <c r="I126" s="2">
        <f>(I125+F126-G126)</f>
        <v>5367.04</v>
      </c>
      <c r="L126" s="2"/>
      <c r="M126" s="5"/>
    </row>
    <row r="127" spans="1:13" x14ac:dyDescent="0.25">
      <c r="A127">
        <v>113</v>
      </c>
      <c r="B127" s="14"/>
      <c r="C127" s="1">
        <v>43062</v>
      </c>
      <c r="D127" t="s">
        <v>163</v>
      </c>
      <c r="E127" s="1" t="s">
        <v>155</v>
      </c>
      <c r="G127" s="2">
        <v>1.91</v>
      </c>
      <c r="H127" s="3" t="s">
        <v>45</v>
      </c>
      <c r="I127" s="2">
        <f t="shared" ref="I127:I209" si="3">(I126+F127-G127)</f>
        <v>5365.13</v>
      </c>
      <c r="J127" s="6" t="s">
        <v>34</v>
      </c>
      <c r="L127" s="2"/>
      <c r="M127" s="5"/>
    </row>
    <row r="128" spans="1:13" x14ac:dyDescent="0.25">
      <c r="A128">
        <v>114</v>
      </c>
      <c r="B128" s="14"/>
      <c r="C128" s="1">
        <v>43062</v>
      </c>
      <c r="D128" t="s">
        <v>180</v>
      </c>
      <c r="E128" s="1" t="s">
        <v>181</v>
      </c>
      <c r="G128" s="2">
        <v>6.64</v>
      </c>
      <c r="H128" s="3" t="s">
        <v>46</v>
      </c>
      <c r="I128" s="2">
        <f t="shared" si="3"/>
        <v>5358.49</v>
      </c>
      <c r="L128" s="2"/>
      <c r="M128" s="5"/>
    </row>
    <row r="129" spans="1:13" x14ac:dyDescent="0.25">
      <c r="A129">
        <v>115</v>
      </c>
      <c r="B129" s="14"/>
      <c r="C129" s="1">
        <v>43062</v>
      </c>
      <c r="D129" t="s">
        <v>15</v>
      </c>
      <c r="E129" s="1" t="s">
        <v>178</v>
      </c>
      <c r="G129" s="2">
        <v>3.05</v>
      </c>
      <c r="H129" s="3" t="s">
        <v>45</v>
      </c>
      <c r="I129" s="2">
        <f t="shared" si="3"/>
        <v>5355.44</v>
      </c>
      <c r="L129" s="2"/>
      <c r="M129" s="5"/>
    </row>
    <row r="130" spans="1:13" x14ac:dyDescent="0.25">
      <c r="A130">
        <v>116</v>
      </c>
      <c r="B130" s="14"/>
      <c r="C130" s="1">
        <v>43062</v>
      </c>
      <c r="D130" t="s">
        <v>15</v>
      </c>
      <c r="E130" s="1" t="s">
        <v>47</v>
      </c>
      <c r="G130" s="2">
        <v>10.17</v>
      </c>
      <c r="H130" s="3" t="s">
        <v>45</v>
      </c>
      <c r="I130" s="2">
        <f t="shared" si="3"/>
        <v>5345.2699999999995</v>
      </c>
      <c r="L130" s="2"/>
      <c r="M130" s="5"/>
    </row>
    <row r="131" spans="1:13" x14ac:dyDescent="0.25">
      <c r="A131">
        <v>117</v>
      </c>
      <c r="B131" s="14"/>
      <c r="C131" s="1">
        <v>43063</v>
      </c>
      <c r="D131" t="s">
        <v>154</v>
      </c>
      <c r="E131" s="1" t="s">
        <v>155</v>
      </c>
      <c r="G131" s="2">
        <v>3.19</v>
      </c>
      <c r="H131" s="3" t="s">
        <v>45</v>
      </c>
      <c r="I131" s="2">
        <f t="shared" si="3"/>
        <v>5342.08</v>
      </c>
      <c r="L131" s="2"/>
      <c r="M131" s="5"/>
    </row>
    <row r="132" spans="1:13" x14ac:dyDescent="0.25">
      <c r="A132">
        <v>118</v>
      </c>
      <c r="B132" s="14"/>
      <c r="C132" s="1">
        <v>43063</v>
      </c>
      <c r="D132" t="s">
        <v>15</v>
      </c>
      <c r="E132" s="1" t="s">
        <v>182</v>
      </c>
      <c r="G132" s="2">
        <v>12.66</v>
      </c>
      <c r="H132" s="3" t="s">
        <v>45</v>
      </c>
      <c r="I132" s="2">
        <f t="shared" si="3"/>
        <v>5329.42</v>
      </c>
      <c r="L132" s="2"/>
      <c r="M132" s="5"/>
    </row>
    <row r="133" spans="1:13" x14ac:dyDescent="0.25">
      <c r="A133">
        <v>119</v>
      </c>
      <c r="B133" s="14"/>
      <c r="C133" s="1">
        <v>43063</v>
      </c>
      <c r="D133" t="s">
        <v>183</v>
      </c>
      <c r="E133" s="1" t="s">
        <v>184</v>
      </c>
      <c r="G133" s="2">
        <v>12.69</v>
      </c>
      <c r="H133" s="3" t="s">
        <v>45</v>
      </c>
      <c r="I133" s="2">
        <f t="shared" si="3"/>
        <v>5316.7300000000005</v>
      </c>
      <c r="J133" s="6" t="s">
        <v>34</v>
      </c>
      <c r="L133" s="2"/>
      <c r="M133" s="5"/>
    </row>
    <row r="134" spans="1:13" x14ac:dyDescent="0.25">
      <c r="A134">
        <v>120</v>
      </c>
      <c r="B134" s="14"/>
      <c r="C134" s="1">
        <v>43064</v>
      </c>
      <c r="D134" t="s">
        <v>63</v>
      </c>
      <c r="E134" s="1" t="s">
        <v>17</v>
      </c>
      <c r="G134" s="2">
        <v>36.69</v>
      </c>
      <c r="H134" s="3" t="s">
        <v>17</v>
      </c>
      <c r="I134" s="2">
        <f t="shared" si="3"/>
        <v>5280.0400000000009</v>
      </c>
      <c r="L134" s="2"/>
      <c r="M134" s="5"/>
    </row>
    <row r="135" spans="1:13" x14ac:dyDescent="0.25">
      <c r="A135">
        <v>121</v>
      </c>
      <c r="B135" s="14"/>
      <c r="C135" s="1">
        <v>43064</v>
      </c>
      <c r="D135" t="s">
        <v>41</v>
      </c>
      <c r="E135" s="1" t="s">
        <v>42</v>
      </c>
      <c r="G135" s="2">
        <v>10.71</v>
      </c>
      <c r="H135" s="3" t="s">
        <v>45</v>
      </c>
      <c r="I135" s="2">
        <f t="shared" si="3"/>
        <v>5269.3300000000008</v>
      </c>
      <c r="L135" s="2"/>
      <c r="M135" s="5"/>
    </row>
    <row r="136" spans="1:13" x14ac:dyDescent="0.25">
      <c r="A136">
        <v>122</v>
      </c>
      <c r="B136" s="14"/>
      <c r="C136" s="1">
        <v>43064</v>
      </c>
      <c r="D136" t="s">
        <v>185</v>
      </c>
      <c r="E136" s="1" t="s">
        <v>186</v>
      </c>
      <c r="G136" s="2">
        <v>14.28</v>
      </c>
      <c r="H136" s="3" t="s">
        <v>45</v>
      </c>
      <c r="I136" s="2">
        <f t="shared" si="3"/>
        <v>5255.0500000000011</v>
      </c>
      <c r="J136" s="6" t="s">
        <v>34</v>
      </c>
      <c r="L136" s="2"/>
      <c r="M136" s="5"/>
    </row>
    <row r="137" spans="1:13" x14ac:dyDescent="0.25">
      <c r="A137">
        <v>123</v>
      </c>
      <c r="B137" s="14"/>
      <c r="C137" s="1">
        <v>43064</v>
      </c>
      <c r="D137" t="s">
        <v>187</v>
      </c>
      <c r="E137" s="1" t="s">
        <v>188</v>
      </c>
      <c r="G137" s="2">
        <v>3.35</v>
      </c>
      <c r="H137" s="3" t="s">
        <v>45</v>
      </c>
      <c r="I137" s="2">
        <f t="shared" si="3"/>
        <v>5251.7000000000007</v>
      </c>
      <c r="L137" s="2"/>
      <c r="M137" s="5"/>
    </row>
    <row r="138" spans="1:13" x14ac:dyDescent="0.25">
      <c r="A138">
        <v>124</v>
      </c>
      <c r="B138" s="14"/>
      <c r="C138" s="1">
        <v>43065</v>
      </c>
      <c r="D138" t="s">
        <v>35</v>
      </c>
      <c r="E138" s="1" t="s">
        <v>166</v>
      </c>
      <c r="G138" s="2">
        <v>10.5</v>
      </c>
      <c r="H138" s="3" t="s">
        <v>45</v>
      </c>
      <c r="I138" s="2">
        <f t="shared" si="3"/>
        <v>5241.2000000000007</v>
      </c>
      <c r="L138" s="19" t="s">
        <v>329</v>
      </c>
      <c r="M138" s="5"/>
    </row>
    <row r="139" spans="1:13" x14ac:dyDescent="0.25">
      <c r="A139">
        <v>125</v>
      </c>
      <c r="B139" s="14"/>
      <c r="C139" s="1">
        <v>43067</v>
      </c>
      <c r="D139" t="s">
        <v>117</v>
      </c>
      <c r="E139" s="1" t="s">
        <v>116</v>
      </c>
      <c r="G139" s="2">
        <v>10.38</v>
      </c>
      <c r="H139" s="3" t="s">
        <v>45</v>
      </c>
      <c r="I139" s="2">
        <f t="shared" si="3"/>
        <v>5230.8200000000006</v>
      </c>
      <c r="L139" s="4">
        <f>SUM(G86:G140)-G87</f>
        <v>516.70999999999981</v>
      </c>
      <c r="M139" s="5"/>
    </row>
    <row r="140" spans="1:13" x14ac:dyDescent="0.25">
      <c r="A140">
        <v>126</v>
      </c>
      <c r="B140" s="14"/>
      <c r="C140" s="1">
        <v>43068</v>
      </c>
      <c r="D140" t="s">
        <v>35</v>
      </c>
      <c r="E140" s="1" t="s">
        <v>189</v>
      </c>
      <c r="G140" s="2">
        <v>23.73</v>
      </c>
      <c r="H140" s="3" t="s">
        <v>45</v>
      </c>
      <c r="I140" s="2">
        <f t="shared" si="3"/>
        <v>5207.0900000000011</v>
      </c>
      <c r="L140" s="16">
        <f>L139/L12</f>
        <v>4.1394520519412274E-2</v>
      </c>
      <c r="M140" s="5"/>
    </row>
    <row r="141" spans="1:13" x14ac:dyDescent="0.25">
      <c r="A141">
        <v>127</v>
      </c>
      <c r="B141" s="14"/>
      <c r="C141" s="1">
        <v>43070</v>
      </c>
      <c r="D141" t="s">
        <v>11</v>
      </c>
      <c r="E141" s="1" t="s">
        <v>76</v>
      </c>
      <c r="G141" s="2">
        <v>560</v>
      </c>
      <c r="H141" s="3" t="s">
        <v>76</v>
      </c>
      <c r="I141" s="2">
        <f t="shared" si="3"/>
        <v>4647.0900000000011</v>
      </c>
      <c r="M141" s="5"/>
    </row>
    <row r="142" spans="1:13" x14ac:dyDescent="0.25">
      <c r="A142">
        <v>128</v>
      </c>
      <c r="B142" s="14"/>
      <c r="C142" s="1">
        <v>43070</v>
      </c>
      <c r="D142" t="s">
        <v>164</v>
      </c>
      <c r="E142" s="1" t="s">
        <v>145</v>
      </c>
      <c r="G142" s="2">
        <v>7.78</v>
      </c>
      <c r="H142" s="3" t="s">
        <v>45</v>
      </c>
      <c r="I142" s="2">
        <f t="shared" si="3"/>
        <v>4639.3100000000013</v>
      </c>
      <c r="J142" s="6" t="s">
        <v>34</v>
      </c>
      <c r="L142" s="2"/>
      <c r="M142" s="5"/>
    </row>
    <row r="143" spans="1:13" x14ac:dyDescent="0.25">
      <c r="A143">
        <v>129</v>
      </c>
      <c r="B143" s="14"/>
      <c r="C143" s="1">
        <v>43070</v>
      </c>
      <c r="D143" t="s">
        <v>190</v>
      </c>
      <c r="E143" s="1" t="s">
        <v>191</v>
      </c>
      <c r="G143" s="2">
        <v>23</v>
      </c>
      <c r="H143" s="3" t="s">
        <v>46</v>
      </c>
      <c r="I143" s="2">
        <f t="shared" si="3"/>
        <v>4616.3100000000013</v>
      </c>
      <c r="L143" s="2"/>
      <c r="M143" s="5"/>
    </row>
    <row r="144" spans="1:13" x14ac:dyDescent="0.25">
      <c r="A144">
        <v>130</v>
      </c>
      <c r="B144" s="14"/>
      <c r="C144" s="1">
        <v>43070</v>
      </c>
      <c r="D144" t="s">
        <v>194</v>
      </c>
      <c r="E144" s="1" t="s">
        <v>195</v>
      </c>
      <c r="G144" s="2">
        <v>2.35</v>
      </c>
      <c r="H144" s="3" t="s">
        <v>45</v>
      </c>
      <c r="I144" s="2">
        <f t="shared" si="3"/>
        <v>4613.9600000000009</v>
      </c>
      <c r="J144" s="6" t="s">
        <v>34</v>
      </c>
      <c r="L144" s="2"/>
      <c r="M144" s="5"/>
    </row>
    <row r="145" spans="1:13" x14ac:dyDescent="0.25">
      <c r="A145">
        <v>131</v>
      </c>
      <c r="B145" s="14"/>
      <c r="C145" s="1">
        <v>43070</v>
      </c>
      <c r="D145" t="s">
        <v>192</v>
      </c>
      <c r="E145" s="1" t="s">
        <v>193</v>
      </c>
      <c r="G145" s="2">
        <v>22.21</v>
      </c>
      <c r="H145" s="3" t="s">
        <v>245</v>
      </c>
      <c r="I145" s="2">
        <f t="shared" si="3"/>
        <v>4591.7500000000009</v>
      </c>
      <c r="L145" s="2"/>
      <c r="M145" s="5"/>
    </row>
    <row r="146" spans="1:13" x14ac:dyDescent="0.25">
      <c r="A146">
        <v>132</v>
      </c>
      <c r="B146" s="14"/>
      <c r="C146" s="1">
        <v>43070</v>
      </c>
      <c r="D146" t="s">
        <v>192</v>
      </c>
      <c r="E146" s="1" t="s">
        <v>196</v>
      </c>
      <c r="G146" s="2">
        <v>22.97</v>
      </c>
      <c r="H146" s="3" t="s">
        <v>245</v>
      </c>
      <c r="I146" s="2">
        <f t="shared" si="3"/>
        <v>4568.7800000000007</v>
      </c>
      <c r="L146" s="2"/>
      <c r="M146" s="5"/>
    </row>
    <row r="147" spans="1:13" x14ac:dyDescent="0.25">
      <c r="A147">
        <v>133</v>
      </c>
      <c r="B147" s="14"/>
      <c r="C147" s="1">
        <v>43071</v>
      </c>
      <c r="D147" t="s">
        <v>117</v>
      </c>
      <c r="E147" s="1" t="s">
        <v>116</v>
      </c>
      <c r="G147" s="2">
        <v>9.93</v>
      </c>
      <c r="H147" s="3" t="s">
        <v>45</v>
      </c>
      <c r="I147" s="2">
        <f t="shared" si="3"/>
        <v>4558.8500000000004</v>
      </c>
      <c r="L147" s="2"/>
      <c r="M147" s="5"/>
    </row>
    <row r="148" spans="1:13" x14ac:dyDescent="0.25">
      <c r="A148" s="14"/>
      <c r="B148" s="14">
        <v>13</v>
      </c>
      <c r="C148" s="1">
        <v>43071</v>
      </c>
      <c r="D148" t="s">
        <v>11</v>
      </c>
      <c r="E148" s="1" t="s">
        <v>140</v>
      </c>
      <c r="F148" s="2">
        <v>0.04</v>
      </c>
      <c r="I148" s="2">
        <f t="shared" si="3"/>
        <v>4558.8900000000003</v>
      </c>
      <c r="L148" s="2"/>
      <c r="M148" s="5"/>
    </row>
    <row r="149" spans="1:13" x14ac:dyDescent="0.25">
      <c r="A149" s="14">
        <v>134</v>
      </c>
      <c r="B149" s="14"/>
      <c r="C149" s="1">
        <v>43071</v>
      </c>
      <c r="D149" t="s">
        <v>146</v>
      </c>
      <c r="E149" s="1" t="s">
        <v>197</v>
      </c>
      <c r="G149" s="2">
        <v>6.4</v>
      </c>
      <c r="H149" s="3" t="s">
        <v>45</v>
      </c>
      <c r="I149" s="2">
        <f t="shared" si="3"/>
        <v>4552.4900000000007</v>
      </c>
      <c r="J149" s="6" t="s">
        <v>34</v>
      </c>
      <c r="L149" s="2"/>
      <c r="M149" s="5"/>
    </row>
    <row r="150" spans="1:13" x14ac:dyDescent="0.25">
      <c r="A150" s="14">
        <v>135</v>
      </c>
      <c r="B150" s="14"/>
      <c r="C150" s="1">
        <v>43071</v>
      </c>
      <c r="D150" t="s">
        <v>194</v>
      </c>
      <c r="E150" s="1" t="s">
        <v>195</v>
      </c>
      <c r="G150" s="2">
        <v>2.35</v>
      </c>
      <c r="H150" s="3" t="s">
        <v>45</v>
      </c>
      <c r="I150" s="2">
        <f t="shared" si="3"/>
        <v>4550.1400000000003</v>
      </c>
      <c r="J150" s="6" t="s">
        <v>34</v>
      </c>
      <c r="L150" s="2"/>
      <c r="M150" s="5"/>
    </row>
    <row r="151" spans="1:13" x14ac:dyDescent="0.25">
      <c r="A151" s="14">
        <v>136</v>
      </c>
      <c r="B151" s="14"/>
      <c r="C151" s="1">
        <v>43073</v>
      </c>
      <c r="E151" s="1" t="s">
        <v>225</v>
      </c>
      <c r="G151" s="2">
        <v>1.5</v>
      </c>
      <c r="H151" s="3" t="s">
        <v>46</v>
      </c>
      <c r="I151" s="2">
        <f t="shared" si="3"/>
        <v>4548.6400000000003</v>
      </c>
      <c r="J151" s="6" t="s">
        <v>34</v>
      </c>
      <c r="L151" s="2"/>
      <c r="M151" s="5"/>
    </row>
    <row r="152" spans="1:13" x14ac:dyDescent="0.25">
      <c r="A152" s="14">
        <v>137</v>
      </c>
      <c r="B152" s="14"/>
      <c r="C152" s="1">
        <v>43073</v>
      </c>
      <c r="D152" t="s">
        <v>154</v>
      </c>
      <c r="E152" s="1" t="s">
        <v>198</v>
      </c>
      <c r="G152" s="2">
        <v>3.59</v>
      </c>
      <c r="H152" s="3" t="s">
        <v>45</v>
      </c>
      <c r="I152" s="2">
        <f t="shared" si="3"/>
        <v>4545.05</v>
      </c>
      <c r="L152" s="2"/>
      <c r="M152" s="5"/>
    </row>
    <row r="153" spans="1:13" x14ac:dyDescent="0.25">
      <c r="A153" s="14">
        <v>138</v>
      </c>
      <c r="B153" s="14"/>
      <c r="C153" s="1">
        <v>43073</v>
      </c>
      <c r="D153" t="s">
        <v>96</v>
      </c>
      <c r="E153" s="1" t="s">
        <v>97</v>
      </c>
      <c r="G153" s="2">
        <v>2.71</v>
      </c>
      <c r="H153" s="3" t="s">
        <v>45</v>
      </c>
      <c r="I153" s="2">
        <f t="shared" si="3"/>
        <v>4542.34</v>
      </c>
      <c r="L153" s="2"/>
      <c r="M153" s="5"/>
    </row>
    <row r="154" spans="1:13" x14ac:dyDescent="0.25">
      <c r="A154" s="14">
        <v>139</v>
      </c>
      <c r="B154" s="14"/>
      <c r="C154" s="1">
        <v>43074</v>
      </c>
      <c r="D154" t="s">
        <v>190</v>
      </c>
      <c r="E154" s="1" t="s">
        <v>199</v>
      </c>
      <c r="G154" s="2">
        <v>10.210000000000001</v>
      </c>
      <c r="H154" s="3" t="s">
        <v>45</v>
      </c>
      <c r="I154" s="2">
        <f t="shared" si="3"/>
        <v>4532.13</v>
      </c>
      <c r="J154" s="6" t="s">
        <v>34</v>
      </c>
      <c r="L154" s="2"/>
      <c r="M154" s="5"/>
    </row>
    <row r="155" spans="1:13" x14ac:dyDescent="0.25">
      <c r="A155" s="14">
        <v>140</v>
      </c>
      <c r="B155" s="14"/>
      <c r="C155" s="1">
        <v>43074</v>
      </c>
      <c r="D155" t="s">
        <v>146</v>
      </c>
      <c r="E155" s="1" t="s">
        <v>200</v>
      </c>
      <c r="G155" s="2">
        <v>1.75</v>
      </c>
      <c r="H155" s="3" t="s">
        <v>45</v>
      </c>
      <c r="I155" s="2">
        <f t="shared" si="3"/>
        <v>4530.38</v>
      </c>
      <c r="J155" s="6" t="s">
        <v>34</v>
      </c>
      <c r="L155" s="2"/>
      <c r="M155" s="5"/>
    </row>
    <row r="156" spans="1:13" x14ac:dyDescent="0.25">
      <c r="A156" s="14">
        <v>141</v>
      </c>
      <c r="B156" s="14"/>
      <c r="C156" s="1">
        <v>43074</v>
      </c>
      <c r="D156" t="s">
        <v>194</v>
      </c>
      <c r="E156" s="1" t="s">
        <v>201</v>
      </c>
      <c r="G156" s="2">
        <v>3.29</v>
      </c>
      <c r="H156" s="3" t="s">
        <v>45</v>
      </c>
      <c r="I156" s="2">
        <f t="shared" si="3"/>
        <v>4527.09</v>
      </c>
      <c r="J156" s="6" t="s">
        <v>34</v>
      </c>
      <c r="L156" s="2"/>
      <c r="M156" s="5"/>
    </row>
    <row r="157" spans="1:13" x14ac:dyDescent="0.25">
      <c r="A157" s="14">
        <v>142</v>
      </c>
      <c r="B157" s="14"/>
      <c r="C157" s="1">
        <v>43075</v>
      </c>
      <c r="D157" t="s">
        <v>202</v>
      </c>
      <c r="E157" s="1" t="s">
        <v>203</v>
      </c>
      <c r="G157" s="2">
        <v>118.03</v>
      </c>
      <c r="H157" s="3" t="s">
        <v>252</v>
      </c>
      <c r="I157" s="2">
        <f t="shared" si="3"/>
        <v>4409.0600000000004</v>
      </c>
      <c r="L157" s="2"/>
      <c r="M157" s="5"/>
    </row>
    <row r="158" spans="1:13" x14ac:dyDescent="0.25">
      <c r="A158" s="14">
        <v>143</v>
      </c>
      <c r="B158" s="14"/>
      <c r="C158" s="1">
        <v>43076</v>
      </c>
      <c r="D158" t="s">
        <v>18</v>
      </c>
      <c r="E158" s="1" t="s">
        <v>204</v>
      </c>
      <c r="G158" s="2">
        <v>42</v>
      </c>
      <c r="H158" s="3" t="s">
        <v>251</v>
      </c>
      <c r="I158" s="2">
        <f t="shared" si="3"/>
        <v>4367.0600000000004</v>
      </c>
      <c r="L158" s="2"/>
      <c r="M158" s="5"/>
    </row>
    <row r="159" spans="1:13" x14ac:dyDescent="0.25">
      <c r="A159" s="14">
        <v>144</v>
      </c>
      <c r="B159" s="14"/>
      <c r="C159" s="1">
        <v>43077</v>
      </c>
      <c r="D159" t="s">
        <v>91</v>
      </c>
      <c r="E159" s="1" t="s">
        <v>207</v>
      </c>
      <c r="G159" s="2">
        <v>21.16</v>
      </c>
      <c r="H159" s="3" t="s">
        <v>45</v>
      </c>
      <c r="I159" s="2">
        <f t="shared" si="3"/>
        <v>4345.9000000000005</v>
      </c>
      <c r="L159" s="2"/>
      <c r="M159" s="5"/>
    </row>
    <row r="160" spans="1:13" x14ac:dyDescent="0.25">
      <c r="A160" s="14">
        <v>145</v>
      </c>
      <c r="B160" s="14"/>
      <c r="C160" s="1">
        <v>43077</v>
      </c>
      <c r="D160" t="s">
        <v>194</v>
      </c>
      <c r="E160" s="1"/>
      <c r="G160" s="2">
        <v>2.35</v>
      </c>
      <c r="H160" s="3" t="s">
        <v>45</v>
      </c>
      <c r="I160" s="2">
        <f t="shared" si="3"/>
        <v>4343.55</v>
      </c>
      <c r="J160" s="6" t="s">
        <v>34</v>
      </c>
      <c r="L160" s="2"/>
      <c r="M160" s="5"/>
    </row>
    <row r="161" spans="1:13" x14ac:dyDescent="0.25">
      <c r="A161" s="14">
        <v>146</v>
      </c>
      <c r="B161" s="14"/>
      <c r="C161" s="1">
        <v>43079</v>
      </c>
      <c r="D161" t="s">
        <v>146</v>
      </c>
      <c r="E161" s="1" t="s">
        <v>52</v>
      </c>
      <c r="G161" s="2">
        <v>2.09</v>
      </c>
      <c r="H161" s="3" t="s">
        <v>45</v>
      </c>
      <c r="I161" s="2">
        <f t="shared" si="3"/>
        <v>4341.46</v>
      </c>
      <c r="J161" s="6" t="s">
        <v>34</v>
      </c>
      <c r="L161" s="2"/>
      <c r="M161" s="5"/>
    </row>
    <row r="162" spans="1:13" x14ac:dyDescent="0.25">
      <c r="A162" s="14">
        <v>147</v>
      </c>
      <c r="B162" s="14"/>
      <c r="C162" s="1">
        <v>43079</v>
      </c>
      <c r="D162" t="s">
        <v>194</v>
      </c>
      <c r="E162" s="1" t="s">
        <v>205</v>
      </c>
      <c r="G162" s="2">
        <v>5.0599999999999996</v>
      </c>
      <c r="H162" s="3" t="s">
        <v>45</v>
      </c>
      <c r="I162" s="2">
        <f t="shared" si="3"/>
        <v>4336.3999999999996</v>
      </c>
      <c r="L162" s="2"/>
      <c r="M162" s="5"/>
    </row>
    <row r="163" spans="1:13" x14ac:dyDescent="0.25">
      <c r="A163" s="14">
        <v>148</v>
      </c>
      <c r="B163" s="14"/>
      <c r="C163" s="1">
        <v>43080</v>
      </c>
      <c r="D163" t="s">
        <v>32</v>
      </c>
      <c r="E163" s="1" t="s">
        <v>206</v>
      </c>
      <c r="G163" s="2">
        <v>8.76</v>
      </c>
      <c r="H163" s="3" t="s">
        <v>45</v>
      </c>
      <c r="I163" s="2">
        <f t="shared" si="3"/>
        <v>4327.6399999999994</v>
      </c>
      <c r="J163" s="6" t="s">
        <v>34</v>
      </c>
      <c r="L163" s="2"/>
      <c r="M163" s="5"/>
    </row>
    <row r="164" spans="1:13" x14ac:dyDescent="0.25">
      <c r="A164" s="14">
        <v>149</v>
      </c>
      <c r="B164" s="14"/>
      <c r="C164" s="1">
        <v>43081</v>
      </c>
      <c r="D164" t="s">
        <v>194</v>
      </c>
      <c r="E164" s="1"/>
      <c r="G164" s="2">
        <v>1.61</v>
      </c>
      <c r="H164" s="3" t="s">
        <v>45</v>
      </c>
      <c r="I164" s="2">
        <f t="shared" si="3"/>
        <v>4326.03</v>
      </c>
      <c r="L164" s="2"/>
      <c r="M164" s="5"/>
    </row>
    <row r="165" spans="1:13" x14ac:dyDescent="0.25">
      <c r="A165" s="14">
        <v>150</v>
      </c>
      <c r="B165" s="14"/>
      <c r="C165" s="1">
        <v>43081</v>
      </c>
      <c r="D165" t="s">
        <v>50</v>
      </c>
      <c r="E165" s="1"/>
      <c r="G165" s="2">
        <v>2.09</v>
      </c>
      <c r="H165" s="3" t="s">
        <v>45</v>
      </c>
      <c r="I165" s="2">
        <f t="shared" si="3"/>
        <v>4323.9399999999996</v>
      </c>
      <c r="J165" s="6" t="s">
        <v>34</v>
      </c>
      <c r="L165" s="2"/>
      <c r="M165" s="5"/>
    </row>
    <row r="166" spans="1:13" x14ac:dyDescent="0.25">
      <c r="A166" s="14">
        <v>151</v>
      </c>
      <c r="B166" s="14"/>
      <c r="C166" s="1">
        <v>43081</v>
      </c>
      <c r="D166" t="s">
        <v>208</v>
      </c>
      <c r="E166" s="1"/>
      <c r="G166" s="2">
        <v>10.16</v>
      </c>
      <c r="H166" s="3" t="s">
        <v>45</v>
      </c>
      <c r="I166" s="2">
        <f t="shared" si="3"/>
        <v>4313.78</v>
      </c>
      <c r="J166" s="6" t="s">
        <v>34</v>
      </c>
      <c r="L166" s="2"/>
      <c r="M166" s="5"/>
    </row>
    <row r="167" spans="1:13" x14ac:dyDescent="0.25">
      <c r="A167" s="14">
        <v>152</v>
      </c>
      <c r="B167" s="14"/>
      <c r="C167" s="1">
        <v>43082</v>
      </c>
      <c r="D167" t="s">
        <v>208</v>
      </c>
      <c r="E167" s="1"/>
      <c r="G167" s="2">
        <v>13.87</v>
      </c>
      <c r="H167" s="3" t="s">
        <v>45</v>
      </c>
      <c r="I167" s="2">
        <f t="shared" si="3"/>
        <v>4299.91</v>
      </c>
      <c r="J167" s="6" t="s">
        <v>34</v>
      </c>
      <c r="L167" s="2"/>
      <c r="M167" s="5"/>
    </row>
    <row r="168" spans="1:13" x14ac:dyDescent="0.25">
      <c r="A168" s="14">
        <v>153</v>
      </c>
      <c r="B168" s="14"/>
      <c r="C168" s="1">
        <v>43084</v>
      </c>
      <c r="D168" t="s">
        <v>67</v>
      </c>
      <c r="E168" s="1" t="s">
        <v>128</v>
      </c>
      <c r="G168" s="2">
        <v>5.99</v>
      </c>
      <c r="H168" s="3" t="s">
        <v>45</v>
      </c>
      <c r="I168" s="2">
        <f t="shared" si="3"/>
        <v>4293.92</v>
      </c>
      <c r="L168" s="2"/>
      <c r="M168" s="5"/>
    </row>
    <row r="169" spans="1:13" x14ac:dyDescent="0.25">
      <c r="A169" s="14">
        <v>154</v>
      </c>
      <c r="B169" s="14"/>
      <c r="C169" s="1">
        <v>43084</v>
      </c>
      <c r="D169" t="s">
        <v>209</v>
      </c>
      <c r="E169" s="1"/>
      <c r="G169" s="2">
        <v>9.93</v>
      </c>
      <c r="H169" s="3" t="s">
        <v>45</v>
      </c>
      <c r="I169" s="2">
        <f t="shared" si="3"/>
        <v>4283.99</v>
      </c>
      <c r="J169" s="6" t="s">
        <v>34</v>
      </c>
      <c r="L169" s="2"/>
      <c r="M169" s="5"/>
    </row>
    <row r="170" spans="1:13" x14ac:dyDescent="0.25">
      <c r="A170" s="14">
        <v>155</v>
      </c>
      <c r="B170" s="14"/>
      <c r="C170" s="1">
        <v>43085</v>
      </c>
      <c r="D170" t="s">
        <v>23</v>
      </c>
      <c r="E170" s="1"/>
      <c r="G170" s="2">
        <v>5.41</v>
      </c>
      <c r="H170" s="3" t="s">
        <v>45</v>
      </c>
      <c r="I170" s="2">
        <f t="shared" si="3"/>
        <v>4278.58</v>
      </c>
      <c r="L170" s="2"/>
      <c r="M170" s="5"/>
    </row>
    <row r="171" spans="1:13" x14ac:dyDescent="0.25">
      <c r="A171" s="14">
        <v>156</v>
      </c>
      <c r="B171" s="14"/>
      <c r="C171" s="1">
        <v>43086</v>
      </c>
      <c r="D171" t="s">
        <v>50</v>
      </c>
      <c r="E171" s="1"/>
      <c r="G171" s="2">
        <v>1.77</v>
      </c>
      <c r="H171" s="3" t="s">
        <v>45</v>
      </c>
      <c r="I171" s="2">
        <f t="shared" si="3"/>
        <v>4276.8099999999995</v>
      </c>
      <c r="L171" s="2"/>
      <c r="M171" s="5"/>
    </row>
    <row r="172" spans="1:13" x14ac:dyDescent="0.25">
      <c r="A172" s="14">
        <v>157</v>
      </c>
      <c r="B172" s="14"/>
      <c r="C172" s="1">
        <v>43086</v>
      </c>
      <c r="D172" t="s">
        <v>61</v>
      </c>
      <c r="E172" s="1" t="s">
        <v>105</v>
      </c>
      <c r="G172" s="2">
        <v>25</v>
      </c>
      <c r="H172" s="3" t="s">
        <v>245</v>
      </c>
      <c r="I172" s="2">
        <f t="shared" si="3"/>
        <v>4251.8099999999995</v>
      </c>
      <c r="L172" s="2"/>
      <c r="M172" s="5"/>
    </row>
    <row r="173" spans="1:13" x14ac:dyDescent="0.25">
      <c r="A173" s="14">
        <v>158</v>
      </c>
      <c r="B173" s="14"/>
      <c r="C173" s="1">
        <v>43087</v>
      </c>
      <c r="D173" t="s">
        <v>210</v>
      </c>
      <c r="E173" s="1" t="s">
        <v>211</v>
      </c>
      <c r="G173" s="2">
        <v>23.4</v>
      </c>
      <c r="H173" s="3" t="s">
        <v>45</v>
      </c>
      <c r="I173" s="2">
        <f t="shared" si="3"/>
        <v>4228.41</v>
      </c>
      <c r="L173" s="2"/>
      <c r="M173" s="5"/>
    </row>
    <row r="174" spans="1:13" x14ac:dyDescent="0.25">
      <c r="A174" s="14">
        <v>159</v>
      </c>
      <c r="B174" s="14"/>
      <c r="C174" s="1">
        <v>43087</v>
      </c>
      <c r="D174" t="s">
        <v>7</v>
      </c>
      <c r="E174" s="1" t="s">
        <v>212</v>
      </c>
      <c r="G174" s="2">
        <v>16.32</v>
      </c>
      <c r="H174" s="3" t="s">
        <v>46</v>
      </c>
      <c r="I174" s="2">
        <f t="shared" si="3"/>
        <v>4212.09</v>
      </c>
      <c r="L174" s="2"/>
      <c r="M174" s="5"/>
    </row>
    <row r="175" spans="1:13" x14ac:dyDescent="0.25">
      <c r="A175" s="14">
        <v>160</v>
      </c>
      <c r="B175" s="14"/>
      <c r="C175" s="1">
        <v>43088</v>
      </c>
      <c r="D175" t="s">
        <v>213</v>
      </c>
      <c r="E175" s="1" t="s">
        <v>214</v>
      </c>
      <c r="G175" s="2">
        <v>16.260000000000002</v>
      </c>
      <c r="H175" s="3" t="s">
        <v>252</v>
      </c>
      <c r="I175" s="2">
        <f t="shared" si="3"/>
        <v>4195.83</v>
      </c>
      <c r="L175" s="2"/>
      <c r="M175" s="5"/>
    </row>
    <row r="176" spans="1:13" x14ac:dyDescent="0.25">
      <c r="A176" s="14">
        <v>161</v>
      </c>
      <c r="B176" s="14"/>
      <c r="C176" s="1">
        <v>43088</v>
      </c>
      <c r="D176" t="s">
        <v>215</v>
      </c>
      <c r="E176" s="1" t="s">
        <v>216</v>
      </c>
      <c r="G176" s="2">
        <v>22.59</v>
      </c>
      <c r="H176" s="3" t="s">
        <v>252</v>
      </c>
      <c r="I176" s="2">
        <f t="shared" si="3"/>
        <v>4173.24</v>
      </c>
      <c r="L176" s="2"/>
      <c r="M176" s="5"/>
    </row>
    <row r="177" spans="1:13" x14ac:dyDescent="0.25">
      <c r="A177" s="14">
        <v>162</v>
      </c>
      <c r="B177" s="14"/>
      <c r="C177" s="1">
        <v>43088</v>
      </c>
      <c r="D177" t="s">
        <v>215</v>
      </c>
      <c r="E177" s="1" t="s">
        <v>217</v>
      </c>
      <c r="G177" s="2">
        <v>39.549999999999997</v>
      </c>
      <c r="H177" s="3" t="s">
        <v>252</v>
      </c>
      <c r="I177" s="2">
        <f t="shared" si="3"/>
        <v>4133.6899999999996</v>
      </c>
      <c r="L177" s="2"/>
      <c r="M177" s="5"/>
    </row>
    <row r="178" spans="1:13" x14ac:dyDescent="0.25">
      <c r="A178" s="14">
        <v>163</v>
      </c>
      <c r="B178" s="14"/>
      <c r="C178" s="1">
        <v>43088</v>
      </c>
      <c r="D178" t="s">
        <v>218</v>
      </c>
      <c r="E178" s="1" t="s">
        <v>219</v>
      </c>
      <c r="G178" s="2">
        <v>50.85</v>
      </c>
      <c r="H178" s="3" t="s">
        <v>252</v>
      </c>
      <c r="I178" s="2">
        <f t="shared" si="3"/>
        <v>4082.8399999999997</v>
      </c>
      <c r="L178" s="2"/>
      <c r="M178" s="5"/>
    </row>
    <row r="179" spans="1:13" x14ac:dyDescent="0.25">
      <c r="A179" s="14">
        <v>164</v>
      </c>
      <c r="B179" s="14"/>
      <c r="C179" s="1">
        <v>43088</v>
      </c>
      <c r="D179" t="s">
        <v>220</v>
      </c>
      <c r="E179" s="1" t="s">
        <v>221</v>
      </c>
      <c r="G179" s="2">
        <v>6</v>
      </c>
      <c r="H179" s="3" t="s">
        <v>45</v>
      </c>
      <c r="I179" s="2">
        <f t="shared" si="3"/>
        <v>4076.8399999999997</v>
      </c>
      <c r="L179" s="2"/>
      <c r="M179" s="5"/>
    </row>
    <row r="180" spans="1:13" x14ac:dyDescent="0.25">
      <c r="A180" s="14">
        <v>165</v>
      </c>
      <c r="B180" s="14"/>
      <c r="C180" s="1">
        <v>43090</v>
      </c>
      <c r="D180" t="s">
        <v>35</v>
      </c>
      <c r="E180" s="1" t="s">
        <v>222</v>
      </c>
      <c r="G180" s="2">
        <v>9.36</v>
      </c>
      <c r="H180" s="3" t="s">
        <v>45</v>
      </c>
      <c r="I180" s="2">
        <f t="shared" si="3"/>
        <v>4067.4799999999996</v>
      </c>
      <c r="L180" s="2"/>
      <c r="M180" s="5"/>
    </row>
    <row r="181" spans="1:13" x14ac:dyDescent="0.25">
      <c r="A181" s="14"/>
      <c r="B181" s="14">
        <v>14</v>
      </c>
      <c r="C181" s="1">
        <v>43091</v>
      </c>
      <c r="D181" t="s">
        <v>11</v>
      </c>
      <c r="E181" s="1" t="s">
        <v>223</v>
      </c>
      <c r="F181" s="2">
        <v>395.29</v>
      </c>
      <c r="I181" s="2">
        <f t="shared" si="3"/>
        <v>4462.7699999999995</v>
      </c>
      <c r="L181" s="2"/>
      <c r="M181" s="5"/>
    </row>
    <row r="182" spans="1:13" x14ac:dyDescent="0.25">
      <c r="A182" s="14">
        <v>166</v>
      </c>
      <c r="B182" s="14"/>
      <c r="C182" s="1">
        <v>43097</v>
      </c>
      <c r="D182" t="s">
        <v>224</v>
      </c>
      <c r="E182" s="1" t="s">
        <v>105</v>
      </c>
      <c r="G182" s="2">
        <v>50</v>
      </c>
      <c r="H182" s="3" t="s">
        <v>245</v>
      </c>
      <c r="I182" s="2">
        <f t="shared" si="3"/>
        <v>4412.7699999999995</v>
      </c>
      <c r="L182" s="2"/>
      <c r="M182" s="5"/>
    </row>
    <row r="183" spans="1:13" x14ac:dyDescent="0.25">
      <c r="A183" s="14">
        <v>167</v>
      </c>
      <c r="B183" s="14"/>
      <c r="C183" s="1">
        <v>43099</v>
      </c>
      <c r="D183" t="s">
        <v>18</v>
      </c>
      <c r="E183" s="1" t="s">
        <v>226</v>
      </c>
      <c r="G183" s="2">
        <v>16.75</v>
      </c>
      <c r="H183" s="3" t="s">
        <v>251</v>
      </c>
      <c r="I183" s="2">
        <f t="shared" si="3"/>
        <v>4396.0199999999995</v>
      </c>
      <c r="L183" s="19" t="s">
        <v>328</v>
      </c>
      <c r="M183" s="5"/>
    </row>
    <row r="184" spans="1:13" x14ac:dyDescent="0.25">
      <c r="A184" s="14">
        <v>168</v>
      </c>
      <c r="B184" s="14"/>
      <c r="C184" s="1">
        <v>43099</v>
      </c>
      <c r="D184" t="s">
        <v>11</v>
      </c>
      <c r="E184" s="1" t="s">
        <v>228</v>
      </c>
      <c r="G184" s="2">
        <v>14</v>
      </c>
      <c r="H184" s="3" t="s">
        <v>45</v>
      </c>
      <c r="I184" s="2">
        <f t="shared" si="3"/>
        <v>4382.0199999999995</v>
      </c>
      <c r="J184" s="6" t="s">
        <v>227</v>
      </c>
      <c r="L184" s="2">
        <f>SUM(G141:G185)-G141</f>
        <v>667.05999999999972</v>
      </c>
      <c r="M184" s="5"/>
    </row>
    <row r="185" spans="1:13" x14ac:dyDescent="0.25">
      <c r="A185" s="14">
        <v>169</v>
      </c>
      <c r="B185" s="14"/>
      <c r="C185" s="1">
        <v>43099</v>
      </c>
      <c r="D185" t="s">
        <v>11</v>
      </c>
      <c r="E185" s="1" t="s">
        <v>229</v>
      </c>
      <c r="G185" s="2">
        <v>6.66</v>
      </c>
      <c r="H185" s="3" t="s">
        <v>251</v>
      </c>
      <c r="I185" s="2">
        <f t="shared" si="3"/>
        <v>4375.3599999999997</v>
      </c>
      <c r="J185" s="6" t="s">
        <v>230</v>
      </c>
      <c r="L185" s="16">
        <f>L184/L12</f>
        <v>5.3439315781926323E-2</v>
      </c>
      <c r="M185" s="5"/>
    </row>
    <row r="186" spans="1:13" x14ac:dyDescent="0.25">
      <c r="A186" s="14">
        <v>170</v>
      </c>
      <c r="B186" s="14"/>
      <c r="C186" s="1">
        <v>43102</v>
      </c>
      <c r="D186" t="s">
        <v>11</v>
      </c>
      <c r="E186" s="1" t="s">
        <v>76</v>
      </c>
      <c r="G186" s="2">
        <v>560</v>
      </c>
      <c r="H186" s="3" t="s">
        <v>76</v>
      </c>
      <c r="I186" s="2">
        <f t="shared" si="3"/>
        <v>3815.3599999999997</v>
      </c>
      <c r="M186" s="5"/>
    </row>
    <row r="187" spans="1:13" x14ac:dyDescent="0.25">
      <c r="A187" s="14"/>
      <c r="B187" s="14">
        <v>15</v>
      </c>
      <c r="C187" s="1"/>
      <c r="D187" t="s">
        <v>11</v>
      </c>
      <c r="E187" s="1" t="s">
        <v>140</v>
      </c>
      <c r="F187" s="2">
        <v>0.04</v>
      </c>
      <c r="I187" s="2">
        <f t="shared" si="3"/>
        <v>3815.3999999999996</v>
      </c>
      <c r="L187" s="2"/>
      <c r="M187" s="5"/>
    </row>
    <row r="188" spans="1:13" x14ac:dyDescent="0.25">
      <c r="A188" s="14"/>
      <c r="B188" s="14">
        <v>16</v>
      </c>
      <c r="C188" s="1">
        <v>43103</v>
      </c>
      <c r="D188" t="s">
        <v>11</v>
      </c>
      <c r="E188" s="1" t="s">
        <v>231</v>
      </c>
      <c r="F188" s="2">
        <v>570</v>
      </c>
      <c r="I188" s="2">
        <f t="shared" si="3"/>
        <v>4385.3999999999996</v>
      </c>
      <c r="L188" s="2"/>
      <c r="M188" s="5"/>
    </row>
    <row r="189" spans="1:13" x14ac:dyDescent="0.25">
      <c r="A189" s="14">
        <v>171</v>
      </c>
      <c r="B189" s="14"/>
      <c r="C189" s="1">
        <v>43103</v>
      </c>
      <c r="D189" t="s">
        <v>11</v>
      </c>
      <c r="E189" s="1" t="s">
        <v>232</v>
      </c>
      <c r="G189" s="2">
        <v>17.7</v>
      </c>
      <c r="H189" s="3" t="s">
        <v>46</v>
      </c>
      <c r="I189" s="2">
        <f t="shared" si="3"/>
        <v>4367.7</v>
      </c>
      <c r="L189" s="2"/>
      <c r="M189" s="5"/>
    </row>
    <row r="190" spans="1:13" x14ac:dyDescent="0.25">
      <c r="A190" s="14">
        <v>172</v>
      </c>
      <c r="B190" s="14"/>
      <c r="C190" s="1">
        <v>43103</v>
      </c>
      <c r="D190" t="s">
        <v>11</v>
      </c>
      <c r="E190" s="1" t="s">
        <v>233</v>
      </c>
      <c r="G190" s="2">
        <v>60</v>
      </c>
      <c r="H190" s="3" t="s">
        <v>46</v>
      </c>
      <c r="I190" s="2">
        <f t="shared" si="3"/>
        <v>4307.7</v>
      </c>
      <c r="J190" s="6" t="s">
        <v>234</v>
      </c>
      <c r="L190" s="2"/>
      <c r="M190" s="5"/>
    </row>
    <row r="191" spans="1:13" x14ac:dyDescent="0.25">
      <c r="A191" s="14"/>
      <c r="B191" s="14">
        <v>17</v>
      </c>
      <c r="C191" s="1">
        <v>43105</v>
      </c>
      <c r="D191" t="s">
        <v>11</v>
      </c>
      <c r="E191" s="1" t="s">
        <v>82</v>
      </c>
      <c r="F191" s="2">
        <v>106.75</v>
      </c>
      <c r="I191" s="2">
        <f t="shared" si="3"/>
        <v>4414.45</v>
      </c>
      <c r="L191" s="2"/>
      <c r="M191" s="5"/>
    </row>
    <row r="192" spans="1:13" x14ac:dyDescent="0.25">
      <c r="A192" s="14">
        <v>173</v>
      </c>
      <c r="B192" s="14"/>
      <c r="C192" s="1">
        <v>43108</v>
      </c>
      <c r="D192" t="s">
        <v>224</v>
      </c>
      <c r="E192" s="1" t="s">
        <v>105</v>
      </c>
      <c r="G192" s="2">
        <v>180</v>
      </c>
      <c r="H192" s="3" t="s">
        <v>245</v>
      </c>
      <c r="I192" s="2">
        <f t="shared" si="3"/>
        <v>4234.45</v>
      </c>
      <c r="L192" s="2"/>
      <c r="M192" s="5"/>
    </row>
    <row r="193" spans="1:13" x14ac:dyDescent="0.25">
      <c r="A193" s="14">
        <v>174</v>
      </c>
      <c r="B193" s="14"/>
      <c r="C193" s="1">
        <v>43112</v>
      </c>
      <c r="D193" t="s">
        <v>235</v>
      </c>
      <c r="E193" s="1" t="s">
        <v>236</v>
      </c>
      <c r="G193" s="2">
        <v>4.2</v>
      </c>
      <c r="H193" s="3" t="s">
        <v>45</v>
      </c>
      <c r="I193" s="2">
        <f t="shared" si="3"/>
        <v>4230.25</v>
      </c>
      <c r="L193" s="2"/>
      <c r="M193" s="5"/>
    </row>
    <row r="194" spans="1:13" x14ac:dyDescent="0.25">
      <c r="A194" s="14">
        <v>175</v>
      </c>
      <c r="B194" s="14"/>
      <c r="C194" s="1">
        <v>43113</v>
      </c>
      <c r="D194" t="s">
        <v>237</v>
      </c>
      <c r="E194" s="1" t="s">
        <v>238</v>
      </c>
      <c r="G194" s="2">
        <v>37.299999999999997</v>
      </c>
      <c r="H194" s="3" t="s">
        <v>46</v>
      </c>
      <c r="I194" s="2">
        <f t="shared" si="3"/>
        <v>4192.95</v>
      </c>
      <c r="L194" s="2"/>
      <c r="M194" s="5"/>
    </row>
    <row r="195" spans="1:13" x14ac:dyDescent="0.25">
      <c r="A195" s="14">
        <v>176</v>
      </c>
      <c r="B195" s="14"/>
      <c r="C195" s="1">
        <v>43115</v>
      </c>
      <c r="D195" t="s">
        <v>239</v>
      </c>
      <c r="E195" s="1" t="s">
        <v>240</v>
      </c>
      <c r="G195" s="2">
        <v>53</v>
      </c>
      <c r="H195" s="3" t="s">
        <v>45</v>
      </c>
      <c r="I195" s="2">
        <f t="shared" si="3"/>
        <v>4139.95</v>
      </c>
      <c r="L195" s="2"/>
      <c r="M195" s="5"/>
    </row>
    <row r="196" spans="1:13" x14ac:dyDescent="0.25">
      <c r="A196" s="14"/>
      <c r="B196" s="14">
        <v>18</v>
      </c>
      <c r="C196" s="1">
        <v>43115</v>
      </c>
      <c r="D196" t="s">
        <v>11</v>
      </c>
      <c r="E196" s="1" t="s">
        <v>241</v>
      </c>
      <c r="F196" s="2">
        <v>19.100000000000001</v>
      </c>
      <c r="I196" s="2">
        <f t="shared" si="3"/>
        <v>4159.05</v>
      </c>
      <c r="J196" s="6" t="s">
        <v>242</v>
      </c>
      <c r="L196" s="2"/>
      <c r="M196" s="5"/>
    </row>
    <row r="197" spans="1:13" x14ac:dyDescent="0.25">
      <c r="A197" s="14"/>
      <c r="B197" s="14">
        <v>19</v>
      </c>
      <c r="C197" s="1">
        <v>43115</v>
      </c>
      <c r="D197" t="s">
        <v>11</v>
      </c>
      <c r="E197" s="1" t="s">
        <v>241</v>
      </c>
      <c r="F197" s="2">
        <v>15</v>
      </c>
      <c r="I197" s="2">
        <f t="shared" si="3"/>
        <v>4174.05</v>
      </c>
      <c r="J197" s="6" t="s">
        <v>243</v>
      </c>
    </row>
    <row r="198" spans="1:13" x14ac:dyDescent="0.25">
      <c r="A198" s="14"/>
      <c r="B198" s="14">
        <v>20</v>
      </c>
      <c r="C198" s="1">
        <v>43118</v>
      </c>
      <c r="D198" t="s">
        <v>11</v>
      </c>
      <c r="E198" s="1" t="s">
        <v>244</v>
      </c>
      <c r="F198" s="2">
        <v>514.12</v>
      </c>
      <c r="I198" s="2">
        <f t="shared" si="3"/>
        <v>4688.17</v>
      </c>
    </row>
    <row r="199" spans="1:13" x14ac:dyDescent="0.25">
      <c r="A199" s="14">
        <v>177</v>
      </c>
      <c r="B199" s="14"/>
      <c r="C199" s="1">
        <v>43122</v>
      </c>
      <c r="D199" t="s">
        <v>224</v>
      </c>
      <c r="E199" s="1" t="s">
        <v>105</v>
      </c>
      <c r="G199" s="2">
        <v>60</v>
      </c>
      <c r="H199" s="3" t="s">
        <v>245</v>
      </c>
      <c r="I199" s="2">
        <f t="shared" si="3"/>
        <v>4628.17</v>
      </c>
    </row>
    <row r="200" spans="1:13" x14ac:dyDescent="0.25">
      <c r="A200" s="14">
        <v>178</v>
      </c>
      <c r="B200" s="14"/>
      <c r="C200" s="1">
        <v>43128</v>
      </c>
      <c r="D200" t="s">
        <v>253</v>
      </c>
      <c r="E200" s="1" t="s">
        <v>254</v>
      </c>
      <c r="G200" s="2">
        <v>43</v>
      </c>
      <c r="H200" s="3" t="s">
        <v>45</v>
      </c>
      <c r="I200" s="2">
        <f t="shared" si="3"/>
        <v>4585.17</v>
      </c>
    </row>
    <row r="201" spans="1:13" x14ac:dyDescent="0.25">
      <c r="A201" s="14"/>
      <c r="B201" s="14">
        <v>21</v>
      </c>
      <c r="C201" s="1">
        <v>43129</v>
      </c>
      <c r="D201" t="s">
        <v>11</v>
      </c>
      <c r="E201" s="1" t="s">
        <v>231</v>
      </c>
      <c r="F201" s="2">
        <v>570</v>
      </c>
      <c r="I201" s="2">
        <f t="shared" si="3"/>
        <v>5155.17</v>
      </c>
    </row>
    <row r="202" spans="1:13" x14ac:dyDescent="0.25">
      <c r="A202" s="14">
        <v>179</v>
      </c>
      <c r="B202" s="14"/>
      <c r="C202" s="1">
        <v>43131</v>
      </c>
      <c r="D202" t="s">
        <v>224</v>
      </c>
      <c r="E202" s="1" t="s">
        <v>105</v>
      </c>
      <c r="G202" s="2">
        <v>270</v>
      </c>
      <c r="H202" s="3" t="s">
        <v>245</v>
      </c>
      <c r="I202" s="2">
        <f t="shared" si="3"/>
        <v>4885.17</v>
      </c>
      <c r="L202" s="2"/>
      <c r="M202" s="5"/>
    </row>
    <row r="203" spans="1:13" x14ac:dyDescent="0.25">
      <c r="A203" s="14">
        <v>180</v>
      </c>
      <c r="B203" s="14"/>
      <c r="C203" s="1">
        <v>43131</v>
      </c>
      <c r="D203" t="s">
        <v>255</v>
      </c>
      <c r="E203" s="1" t="s">
        <v>256</v>
      </c>
      <c r="G203" s="2">
        <v>67.25</v>
      </c>
      <c r="H203" s="3" t="s">
        <v>46</v>
      </c>
      <c r="I203" s="2">
        <f t="shared" si="3"/>
        <v>4817.92</v>
      </c>
      <c r="L203" s="19" t="s">
        <v>327</v>
      </c>
      <c r="M203" s="5"/>
    </row>
    <row r="204" spans="1:13" x14ac:dyDescent="0.25">
      <c r="A204" s="14">
        <v>181</v>
      </c>
      <c r="B204" s="14"/>
      <c r="C204" s="1">
        <v>43131</v>
      </c>
      <c r="D204" t="s">
        <v>11</v>
      </c>
      <c r="E204" s="1" t="s">
        <v>257</v>
      </c>
      <c r="G204" s="2">
        <v>55.62</v>
      </c>
      <c r="H204" s="3" t="s">
        <v>46</v>
      </c>
      <c r="I204" s="2">
        <f t="shared" si="3"/>
        <v>4762.3</v>
      </c>
      <c r="L204" s="2">
        <f>SUM(G186:G205)-G186</f>
        <v>909.88999999999987</v>
      </c>
      <c r="M204" s="5"/>
    </row>
    <row r="205" spans="1:13" x14ac:dyDescent="0.25">
      <c r="A205" s="14">
        <v>182</v>
      </c>
      <c r="B205" s="14"/>
      <c r="C205" s="1">
        <v>43131</v>
      </c>
      <c r="D205" t="s">
        <v>258</v>
      </c>
      <c r="E205" s="1" t="s">
        <v>259</v>
      </c>
      <c r="G205" s="2">
        <v>61.82</v>
      </c>
      <c r="H205" s="3" t="s">
        <v>46</v>
      </c>
      <c r="I205" s="2">
        <f t="shared" si="3"/>
        <v>4700.4800000000005</v>
      </c>
      <c r="L205" s="16">
        <f>L204/L12</f>
        <v>7.2892841778576065E-2</v>
      </c>
    </row>
    <row r="206" spans="1:13" x14ac:dyDescent="0.25">
      <c r="A206" s="14">
        <v>183</v>
      </c>
      <c r="B206" s="14"/>
      <c r="C206" s="1">
        <v>43132</v>
      </c>
      <c r="D206" t="s">
        <v>11</v>
      </c>
      <c r="E206" s="1" t="s">
        <v>244</v>
      </c>
      <c r="F206" s="2">
        <v>904.27</v>
      </c>
      <c r="I206" s="2">
        <f t="shared" si="3"/>
        <v>5604.75</v>
      </c>
    </row>
    <row r="207" spans="1:13" x14ac:dyDescent="0.25">
      <c r="A207" s="14">
        <v>184</v>
      </c>
      <c r="B207" s="14"/>
      <c r="C207" s="1">
        <v>43132</v>
      </c>
      <c r="D207" t="s">
        <v>11</v>
      </c>
      <c r="E207" s="1" t="s">
        <v>76</v>
      </c>
      <c r="G207" s="2">
        <v>560</v>
      </c>
      <c r="H207" s="3" t="s">
        <v>76</v>
      </c>
      <c r="I207" s="2">
        <f t="shared" si="3"/>
        <v>5044.75</v>
      </c>
    </row>
    <row r="208" spans="1:13" x14ac:dyDescent="0.25">
      <c r="A208" s="14"/>
      <c r="B208" s="14">
        <v>22</v>
      </c>
      <c r="C208" s="1"/>
      <c r="D208" t="s">
        <v>11</v>
      </c>
      <c r="E208" s="1" t="s">
        <v>140</v>
      </c>
      <c r="F208" s="2">
        <v>0.04</v>
      </c>
      <c r="I208" s="2">
        <f t="shared" si="3"/>
        <v>5044.79</v>
      </c>
    </row>
    <row r="209" spans="1:13" x14ac:dyDescent="0.25">
      <c r="A209" s="14">
        <v>185</v>
      </c>
      <c r="B209" s="14"/>
      <c r="C209" s="1">
        <v>43137</v>
      </c>
      <c r="D209" s="1" t="s">
        <v>260</v>
      </c>
      <c r="E209" s="1" t="s">
        <v>261</v>
      </c>
      <c r="G209" s="2">
        <v>2.08</v>
      </c>
      <c r="H209" s="3" t="s">
        <v>45</v>
      </c>
      <c r="I209" s="2">
        <f t="shared" si="3"/>
        <v>5042.71</v>
      </c>
      <c r="J209" s="6" t="s">
        <v>34</v>
      </c>
    </row>
    <row r="210" spans="1:13" x14ac:dyDescent="0.25">
      <c r="A210" s="14">
        <v>186</v>
      </c>
      <c r="B210" s="14"/>
      <c r="C210" s="1">
        <v>43137</v>
      </c>
      <c r="D210" t="s">
        <v>151</v>
      </c>
      <c r="E210" s="1" t="s">
        <v>262</v>
      </c>
      <c r="G210" s="2">
        <v>5.03</v>
      </c>
      <c r="H210" s="3" t="s">
        <v>45</v>
      </c>
      <c r="I210" s="2">
        <f t="shared" ref="I210:I219" si="4">(I209+F210-G210)</f>
        <v>5037.68</v>
      </c>
    </row>
    <row r="211" spans="1:13" x14ac:dyDescent="0.25">
      <c r="A211" s="14">
        <v>187</v>
      </c>
      <c r="B211" s="14"/>
      <c r="C211" s="1">
        <v>43137</v>
      </c>
      <c r="D211" t="s">
        <v>263</v>
      </c>
      <c r="E211" s="1" t="s">
        <v>254</v>
      </c>
      <c r="G211" s="2">
        <v>295</v>
      </c>
      <c r="H211" s="3" t="s">
        <v>45</v>
      </c>
      <c r="I211" s="2">
        <f t="shared" si="4"/>
        <v>4742.68</v>
      </c>
    </row>
    <row r="212" spans="1:13" x14ac:dyDescent="0.25">
      <c r="A212" s="14">
        <v>188</v>
      </c>
      <c r="B212" s="14"/>
      <c r="C212" s="1">
        <v>43138</v>
      </c>
      <c r="D212" t="s">
        <v>244</v>
      </c>
      <c r="E212" s="1" t="s">
        <v>264</v>
      </c>
      <c r="G212" s="2">
        <v>9.0299999999999994</v>
      </c>
      <c r="H212" s="3" t="s">
        <v>45</v>
      </c>
      <c r="I212" s="2">
        <f t="shared" si="4"/>
        <v>4733.6500000000005</v>
      </c>
    </row>
    <row r="213" spans="1:13" x14ac:dyDescent="0.25">
      <c r="A213" s="14"/>
      <c r="B213" s="14">
        <v>23</v>
      </c>
      <c r="C213" s="1">
        <v>43140</v>
      </c>
      <c r="D213" t="s">
        <v>11</v>
      </c>
      <c r="E213" s="1" t="s">
        <v>308</v>
      </c>
      <c r="F213" s="2">
        <v>73.75</v>
      </c>
      <c r="I213" s="2">
        <f t="shared" si="4"/>
        <v>4807.4000000000005</v>
      </c>
      <c r="J213" s="6" t="s">
        <v>132</v>
      </c>
    </row>
    <row r="214" spans="1:13" x14ac:dyDescent="0.25">
      <c r="A214" s="14"/>
      <c r="B214" s="14">
        <v>24</v>
      </c>
      <c r="C214" s="1">
        <v>43140</v>
      </c>
      <c r="D214" t="s">
        <v>11</v>
      </c>
      <c r="E214" s="1" t="s">
        <v>308</v>
      </c>
      <c r="F214" s="2">
        <v>73.75</v>
      </c>
      <c r="I214" s="2">
        <f t="shared" si="4"/>
        <v>4881.1500000000005</v>
      </c>
      <c r="J214" s="6" t="s">
        <v>265</v>
      </c>
    </row>
    <row r="215" spans="1:13" x14ac:dyDescent="0.25">
      <c r="A215" s="14">
        <v>189</v>
      </c>
      <c r="B215" s="14"/>
      <c r="C215" s="1">
        <v>43140</v>
      </c>
      <c r="D215" t="s">
        <v>266</v>
      </c>
      <c r="E215" s="1" t="s">
        <v>267</v>
      </c>
      <c r="G215" s="2">
        <v>74.349999999999994</v>
      </c>
      <c r="H215" s="3" t="s">
        <v>46</v>
      </c>
      <c r="I215" s="2">
        <f t="shared" si="4"/>
        <v>4806.8</v>
      </c>
    </row>
    <row r="216" spans="1:13" x14ac:dyDescent="0.25">
      <c r="A216" s="14">
        <v>190</v>
      </c>
      <c r="B216" s="14"/>
      <c r="C216" s="1">
        <v>43140</v>
      </c>
      <c r="D216" t="s">
        <v>11</v>
      </c>
      <c r="E216" s="1" t="s">
        <v>268</v>
      </c>
      <c r="G216" s="2">
        <v>67.45</v>
      </c>
      <c r="H216" s="3" t="s">
        <v>46</v>
      </c>
      <c r="I216" s="2">
        <f t="shared" si="4"/>
        <v>4739.3500000000004</v>
      </c>
    </row>
    <row r="217" spans="1:13" x14ac:dyDescent="0.25">
      <c r="A217" s="14">
        <v>191</v>
      </c>
      <c r="B217" s="14"/>
      <c r="C217" s="1">
        <v>43145</v>
      </c>
      <c r="D217" t="s">
        <v>141</v>
      </c>
      <c r="E217" s="1" t="s">
        <v>142</v>
      </c>
      <c r="G217" s="2">
        <v>60</v>
      </c>
      <c r="H217" s="3" t="s">
        <v>46</v>
      </c>
      <c r="I217" s="2">
        <f t="shared" si="4"/>
        <v>4679.3500000000004</v>
      </c>
    </row>
    <row r="218" spans="1:13" x14ac:dyDescent="0.25">
      <c r="A218" s="14">
        <v>192</v>
      </c>
      <c r="B218" s="14"/>
      <c r="C218" s="1">
        <v>43145</v>
      </c>
      <c r="D218" t="s">
        <v>269</v>
      </c>
      <c r="E218" s="1" t="s">
        <v>270</v>
      </c>
      <c r="G218" s="2">
        <v>75.95</v>
      </c>
      <c r="H218" s="3" t="s">
        <v>46</v>
      </c>
      <c r="I218" s="2">
        <f t="shared" si="4"/>
        <v>4603.4000000000005</v>
      </c>
    </row>
    <row r="219" spans="1:13" x14ac:dyDescent="0.25">
      <c r="A219" s="14">
        <v>193</v>
      </c>
      <c r="B219" s="14"/>
      <c r="C219" s="1">
        <v>43145</v>
      </c>
      <c r="D219" t="s">
        <v>11</v>
      </c>
      <c r="E219" s="1" t="s">
        <v>271</v>
      </c>
      <c r="G219" s="2">
        <v>20</v>
      </c>
      <c r="H219" s="3" t="s">
        <v>252</v>
      </c>
      <c r="I219" s="2">
        <f t="shared" si="4"/>
        <v>4583.4000000000005</v>
      </c>
      <c r="J219" s="6" t="s">
        <v>273</v>
      </c>
    </row>
    <row r="220" spans="1:13" x14ac:dyDescent="0.25">
      <c r="A220" s="14">
        <v>194</v>
      </c>
      <c r="B220" s="14"/>
      <c r="C220" s="1">
        <v>43145</v>
      </c>
      <c r="D220" t="s">
        <v>11</v>
      </c>
      <c r="E220" s="1" t="s">
        <v>272</v>
      </c>
      <c r="G220" s="2">
        <v>10</v>
      </c>
      <c r="H220" s="3" t="s">
        <v>251</v>
      </c>
      <c r="I220" s="2">
        <f>(I219+F220-G220)</f>
        <v>4573.4000000000005</v>
      </c>
      <c r="J220" s="6" t="s">
        <v>274</v>
      </c>
    </row>
    <row r="221" spans="1:13" x14ac:dyDescent="0.25">
      <c r="A221" s="14"/>
      <c r="B221" s="14">
        <v>25</v>
      </c>
      <c r="C221" s="1">
        <v>43146</v>
      </c>
      <c r="D221" t="s">
        <v>11</v>
      </c>
      <c r="E221" s="1" t="s">
        <v>244</v>
      </c>
      <c r="F221" s="2">
        <v>904.27</v>
      </c>
      <c r="I221" s="2">
        <f t="shared" ref="I221:I252" si="5">(I220+F221-G221)</f>
        <v>5477.67</v>
      </c>
    </row>
    <row r="222" spans="1:13" x14ac:dyDescent="0.25">
      <c r="A222" s="14">
        <v>195</v>
      </c>
      <c r="B222" s="14"/>
      <c r="C222" s="1">
        <v>43147</v>
      </c>
      <c r="D222" t="s">
        <v>275</v>
      </c>
      <c r="E222" s="1" t="s">
        <v>276</v>
      </c>
      <c r="G222" s="2">
        <v>11.04</v>
      </c>
      <c r="H222" s="3" t="s">
        <v>45</v>
      </c>
      <c r="I222" s="2">
        <f t="shared" si="5"/>
        <v>5466.63</v>
      </c>
      <c r="K222" s="2"/>
      <c r="L222" s="16"/>
      <c r="M222" s="17"/>
    </row>
    <row r="223" spans="1:13" x14ac:dyDescent="0.25">
      <c r="A223" s="14">
        <v>196</v>
      </c>
      <c r="B223" s="14"/>
      <c r="C223" s="1">
        <v>43147</v>
      </c>
      <c r="D223" t="s">
        <v>275</v>
      </c>
      <c r="E223" s="1" t="s">
        <v>277</v>
      </c>
      <c r="G223" s="2">
        <v>21</v>
      </c>
      <c r="H223" s="3" t="s">
        <v>251</v>
      </c>
      <c r="I223" s="2">
        <f t="shared" si="5"/>
        <v>5445.63</v>
      </c>
      <c r="K223" s="2"/>
      <c r="L223" s="16"/>
      <c r="M223" s="17"/>
    </row>
    <row r="224" spans="1:13" x14ac:dyDescent="0.25">
      <c r="A224" s="14">
        <v>197</v>
      </c>
      <c r="B224" s="14"/>
      <c r="C224" s="1">
        <v>43147</v>
      </c>
      <c r="D224" t="s">
        <v>278</v>
      </c>
      <c r="E224" s="1" t="s">
        <v>279</v>
      </c>
      <c r="G224" s="2">
        <v>18</v>
      </c>
      <c r="H224" s="3" t="s">
        <v>45</v>
      </c>
      <c r="I224" s="2">
        <f t="shared" si="5"/>
        <v>5427.63</v>
      </c>
      <c r="K224" s="2"/>
      <c r="L224" s="16"/>
      <c r="M224" s="17"/>
    </row>
    <row r="225" spans="1:13" x14ac:dyDescent="0.25">
      <c r="A225" s="14">
        <v>198</v>
      </c>
      <c r="B225" s="14"/>
      <c r="C225" s="1">
        <v>43148</v>
      </c>
      <c r="D225" t="s">
        <v>280</v>
      </c>
      <c r="E225" s="1" t="s">
        <v>281</v>
      </c>
      <c r="G225" s="2">
        <v>20</v>
      </c>
      <c r="H225" s="3" t="s">
        <v>45</v>
      </c>
      <c r="I225" s="2">
        <f t="shared" si="5"/>
        <v>5407.63</v>
      </c>
      <c r="K225" s="2"/>
      <c r="L225" s="16"/>
      <c r="M225" s="17"/>
    </row>
    <row r="226" spans="1:13" x14ac:dyDescent="0.25">
      <c r="A226" s="14">
        <v>199</v>
      </c>
      <c r="B226" s="14"/>
      <c r="C226" s="1">
        <v>43148</v>
      </c>
      <c r="D226" t="s">
        <v>282</v>
      </c>
      <c r="E226" s="1" t="s">
        <v>283</v>
      </c>
      <c r="G226" s="2">
        <v>11.05</v>
      </c>
      <c r="H226" s="3" t="s">
        <v>45</v>
      </c>
      <c r="I226" s="2">
        <f t="shared" si="5"/>
        <v>5396.58</v>
      </c>
      <c r="K226" s="2"/>
      <c r="L226" s="16"/>
      <c r="M226" s="17"/>
    </row>
    <row r="227" spans="1:13" x14ac:dyDescent="0.25">
      <c r="A227" s="14">
        <v>200</v>
      </c>
      <c r="B227" s="14"/>
      <c r="C227" s="1">
        <v>43149</v>
      </c>
      <c r="D227" t="s">
        <v>284</v>
      </c>
      <c r="E227" s="1" t="s">
        <v>285</v>
      </c>
      <c r="G227" s="2">
        <v>26</v>
      </c>
      <c r="H227" s="3" t="s">
        <v>45</v>
      </c>
      <c r="I227" s="2">
        <f t="shared" si="5"/>
        <v>5370.58</v>
      </c>
      <c r="K227" s="2"/>
      <c r="L227" s="16"/>
      <c r="M227" s="17"/>
    </row>
    <row r="228" spans="1:13" x14ac:dyDescent="0.25">
      <c r="A228" s="14">
        <v>201</v>
      </c>
      <c r="B228" s="14"/>
      <c r="C228" s="1">
        <v>43150</v>
      </c>
      <c r="D228" t="s">
        <v>35</v>
      </c>
      <c r="E228" s="1" t="s">
        <v>286</v>
      </c>
      <c r="G228" s="2">
        <v>5.08</v>
      </c>
      <c r="H228" s="3" t="s">
        <v>45</v>
      </c>
      <c r="I228" s="2">
        <f t="shared" si="5"/>
        <v>5365.5</v>
      </c>
    </row>
    <row r="229" spans="1:13" x14ac:dyDescent="0.25">
      <c r="A229" s="14">
        <v>202</v>
      </c>
      <c r="B229" s="14"/>
      <c r="C229" s="1">
        <v>43151</v>
      </c>
      <c r="D229" t="s">
        <v>244</v>
      </c>
      <c r="E229" s="1" t="s">
        <v>287</v>
      </c>
      <c r="G229" s="2">
        <v>9.59</v>
      </c>
      <c r="H229" s="3" t="s">
        <v>45</v>
      </c>
      <c r="I229" s="2">
        <f t="shared" si="5"/>
        <v>5355.91</v>
      </c>
      <c r="K229" s="2"/>
    </row>
    <row r="230" spans="1:13" x14ac:dyDescent="0.25">
      <c r="A230" s="14">
        <v>203</v>
      </c>
      <c r="B230" s="14"/>
      <c r="C230" s="1">
        <v>43151</v>
      </c>
      <c r="D230" t="s">
        <v>244</v>
      </c>
      <c r="E230" s="1" t="s">
        <v>288</v>
      </c>
      <c r="G230" s="2">
        <v>9.0299999999999994</v>
      </c>
      <c r="H230" s="3" t="s">
        <v>45</v>
      </c>
      <c r="I230" s="2">
        <f t="shared" si="5"/>
        <v>5346.88</v>
      </c>
      <c r="L230" s="19" t="s">
        <v>326</v>
      </c>
      <c r="M230" s="5"/>
    </row>
    <row r="231" spans="1:13" x14ac:dyDescent="0.25">
      <c r="A231" s="14">
        <v>204</v>
      </c>
      <c r="B231" s="14"/>
      <c r="C231" s="1">
        <v>43155</v>
      </c>
      <c r="D231" t="s">
        <v>11</v>
      </c>
      <c r="E231" s="1" t="s">
        <v>289</v>
      </c>
      <c r="G231" s="2">
        <v>33.270000000000003</v>
      </c>
      <c r="H231" s="3" t="s">
        <v>46</v>
      </c>
      <c r="I231" s="2">
        <f t="shared" si="5"/>
        <v>5313.61</v>
      </c>
      <c r="J231" s="6" t="s">
        <v>290</v>
      </c>
      <c r="K231" s="2"/>
      <c r="L231" s="2">
        <f>SUM(G206:G232)-G207</f>
        <v>1065.9499999999998</v>
      </c>
      <c r="M231" s="5"/>
    </row>
    <row r="232" spans="1:13" x14ac:dyDescent="0.25">
      <c r="A232" s="14">
        <v>205</v>
      </c>
      <c r="B232" s="14"/>
      <c r="C232" s="1">
        <v>43158</v>
      </c>
      <c r="D232" t="s">
        <v>11</v>
      </c>
      <c r="E232" s="1" t="s">
        <v>291</v>
      </c>
      <c r="G232" s="2">
        <v>283</v>
      </c>
      <c r="H232" s="3" t="s">
        <v>46</v>
      </c>
      <c r="I232" s="2">
        <f t="shared" si="5"/>
        <v>5030.6099999999997</v>
      </c>
      <c r="K232" s="2"/>
      <c r="L232" s="16">
        <f>L231/L12</f>
        <v>8.5395074892430034E-2</v>
      </c>
    </row>
    <row r="233" spans="1:13" x14ac:dyDescent="0.25">
      <c r="A233" s="14"/>
      <c r="B233" s="14">
        <v>26</v>
      </c>
      <c r="C233" s="1">
        <v>43160</v>
      </c>
      <c r="D233" t="s">
        <v>11</v>
      </c>
      <c r="E233" s="1" t="s">
        <v>244</v>
      </c>
      <c r="F233" s="2">
        <v>901.13</v>
      </c>
      <c r="I233" s="2">
        <f t="shared" si="5"/>
        <v>5931.74</v>
      </c>
    </row>
    <row r="234" spans="1:13" x14ac:dyDescent="0.25">
      <c r="A234" s="14">
        <v>206</v>
      </c>
      <c r="B234" s="14"/>
      <c r="C234" s="1">
        <v>43160</v>
      </c>
      <c r="D234" t="s">
        <v>224</v>
      </c>
      <c r="E234" s="1" t="s">
        <v>105</v>
      </c>
      <c r="G234" s="2">
        <v>260</v>
      </c>
      <c r="H234" s="3" t="s">
        <v>245</v>
      </c>
      <c r="I234" s="2">
        <f t="shared" si="5"/>
        <v>5671.74</v>
      </c>
    </row>
    <row r="235" spans="1:13" x14ac:dyDescent="0.25">
      <c r="A235" s="14">
        <v>207</v>
      </c>
      <c r="B235" s="14"/>
      <c r="C235" s="1">
        <v>43160</v>
      </c>
      <c r="D235" t="s">
        <v>292</v>
      </c>
      <c r="E235" s="1" t="s">
        <v>293</v>
      </c>
      <c r="G235" s="2">
        <v>84</v>
      </c>
      <c r="H235" s="3" t="s">
        <v>45</v>
      </c>
      <c r="I235" s="2">
        <f t="shared" si="5"/>
        <v>5587.74</v>
      </c>
      <c r="K235" s="2"/>
    </row>
    <row r="236" spans="1:13" x14ac:dyDescent="0.25">
      <c r="A236" s="14"/>
      <c r="B236" s="14">
        <v>27</v>
      </c>
      <c r="C236" s="1">
        <v>43160</v>
      </c>
      <c r="D236" t="s">
        <v>11</v>
      </c>
      <c r="E236" s="1" t="s">
        <v>140</v>
      </c>
      <c r="F236" s="2">
        <v>0.05</v>
      </c>
      <c r="I236" s="2">
        <f t="shared" si="5"/>
        <v>5587.79</v>
      </c>
    </row>
    <row r="237" spans="1:13" x14ac:dyDescent="0.25">
      <c r="A237" s="14">
        <v>208</v>
      </c>
      <c r="B237" s="14"/>
      <c r="C237" s="1">
        <v>43162</v>
      </c>
      <c r="D237" t="s">
        <v>11</v>
      </c>
      <c r="E237" s="1" t="s">
        <v>76</v>
      </c>
      <c r="G237" s="2">
        <v>560</v>
      </c>
      <c r="H237" s="3" t="s">
        <v>76</v>
      </c>
      <c r="I237" s="2">
        <f t="shared" si="5"/>
        <v>5027.79</v>
      </c>
    </row>
    <row r="238" spans="1:13" x14ac:dyDescent="0.25">
      <c r="A238" s="14">
        <v>209</v>
      </c>
      <c r="B238" s="14"/>
      <c r="C238" s="1">
        <v>43162</v>
      </c>
      <c r="D238" t="s">
        <v>294</v>
      </c>
      <c r="E238" s="1" t="s">
        <v>295</v>
      </c>
      <c r="G238" s="2">
        <v>10.72</v>
      </c>
      <c r="H238" s="3" t="s">
        <v>45</v>
      </c>
      <c r="I238" s="2">
        <f t="shared" si="5"/>
        <v>5017.07</v>
      </c>
    </row>
    <row r="239" spans="1:13" x14ac:dyDescent="0.25">
      <c r="A239" s="14"/>
      <c r="B239" s="14">
        <v>28</v>
      </c>
      <c r="C239" s="1">
        <v>43162</v>
      </c>
      <c r="D239" t="s">
        <v>11</v>
      </c>
      <c r="E239" s="1" t="s">
        <v>231</v>
      </c>
      <c r="F239" s="2">
        <v>570</v>
      </c>
      <c r="I239" s="2">
        <f t="shared" si="5"/>
        <v>5587.07</v>
      </c>
    </row>
    <row r="240" spans="1:13" x14ac:dyDescent="0.25">
      <c r="A240" s="14"/>
      <c r="B240" s="14">
        <v>29</v>
      </c>
      <c r="C240" s="1">
        <v>43164</v>
      </c>
      <c r="D240" t="s">
        <v>11</v>
      </c>
      <c r="E240" s="1" t="s">
        <v>308</v>
      </c>
      <c r="F240" s="2">
        <v>73.75</v>
      </c>
      <c r="I240" s="2">
        <f t="shared" si="5"/>
        <v>5660.82</v>
      </c>
      <c r="J240" s="6" t="s">
        <v>309</v>
      </c>
    </row>
    <row r="241" spans="1:13" x14ac:dyDescent="0.25">
      <c r="A241" s="14">
        <v>210</v>
      </c>
      <c r="B241" s="14"/>
      <c r="C241" s="1">
        <v>43167</v>
      </c>
      <c r="D241" t="s">
        <v>297</v>
      </c>
      <c r="E241" s="1" t="s">
        <v>296</v>
      </c>
      <c r="G241" s="2">
        <v>4.95</v>
      </c>
      <c r="H241" s="3" t="s">
        <v>45</v>
      </c>
      <c r="I241" s="2">
        <f t="shared" si="5"/>
        <v>5655.87</v>
      </c>
    </row>
    <row r="242" spans="1:13" x14ac:dyDescent="0.25">
      <c r="A242" s="14">
        <v>211</v>
      </c>
      <c r="B242" s="14"/>
      <c r="C242" s="1">
        <v>43169</v>
      </c>
      <c r="D242" t="s">
        <v>298</v>
      </c>
      <c r="E242" s="1" t="s">
        <v>299</v>
      </c>
      <c r="G242" s="2">
        <v>124.3</v>
      </c>
      <c r="H242" s="3" t="s">
        <v>46</v>
      </c>
      <c r="I242" s="2">
        <f t="shared" si="5"/>
        <v>5531.57</v>
      </c>
    </row>
    <row r="243" spans="1:13" x14ac:dyDescent="0.25">
      <c r="A243" s="14">
        <v>212</v>
      </c>
      <c r="B243" s="14"/>
      <c r="C243" s="1">
        <v>43169</v>
      </c>
      <c r="D243" t="s">
        <v>300</v>
      </c>
      <c r="E243" s="1" t="s">
        <v>301</v>
      </c>
      <c r="G243" s="2">
        <v>100</v>
      </c>
      <c r="H243" s="3" t="s">
        <v>46</v>
      </c>
      <c r="I243" s="2">
        <f t="shared" si="5"/>
        <v>5431.57</v>
      </c>
    </row>
    <row r="244" spans="1:13" x14ac:dyDescent="0.25">
      <c r="A244" s="14">
        <v>213</v>
      </c>
      <c r="B244" s="14"/>
      <c r="C244" s="1">
        <v>43169</v>
      </c>
      <c r="D244" t="s">
        <v>297</v>
      </c>
      <c r="E244" s="1" t="s">
        <v>52</v>
      </c>
      <c r="G244" s="2">
        <v>2.2999999999999998</v>
      </c>
      <c r="H244" s="3" t="s">
        <v>45</v>
      </c>
      <c r="I244" s="2">
        <f t="shared" si="5"/>
        <v>5429.2699999999995</v>
      </c>
    </row>
    <row r="245" spans="1:13" x14ac:dyDescent="0.25">
      <c r="A245" s="14">
        <v>214</v>
      </c>
      <c r="B245" s="14"/>
      <c r="C245" s="1">
        <v>43170</v>
      </c>
      <c r="D245" t="s">
        <v>11</v>
      </c>
      <c r="E245" s="1" t="s">
        <v>302</v>
      </c>
      <c r="G245" s="2">
        <v>5</v>
      </c>
      <c r="H245" s="3" t="s">
        <v>46</v>
      </c>
      <c r="I245" s="2">
        <f t="shared" si="5"/>
        <v>5424.2699999999995</v>
      </c>
    </row>
    <row r="246" spans="1:13" x14ac:dyDescent="0.25">
      <c r="A246" s="14">
        <v>215</v>
      </c>
      <c r="B246" s="14"/>
      <c r="C246" s="1">
        <v>43172</v>
      </c>
      <c r="D246" t="s">
        <v>303</v>
      </c>
      <c r="E246" s="1" t="s">
        <v>304</v>
      </c>
      <c r="G246" s="2">
        <v>7.86</v>
      </c>
      <c r="H246" s="3" t="s">
        <v>45</v>
      </c>
      <c r="I246" s="2">
        <f t="shared" si="5"/>
        <v>5416.41</v>
      </c>
    </row>
    <row r="247" spans="1:13" x14ac:dyDescent="0.25">
      <c r="A247" s="14">
        <v>216</v>
      </c>
      <c r="B247" s="14"/>
      <c r="C247" s="1">
        <v>43172</v>
      </c>
      <c r="D247" t="s">
        <v>306</v>
      </c>
      <c r="E247" s="1" t="s">
        <v>305</v>
      </c>
      <c r="G247" s="2">
        <v>15.75</v>
      </c>
      <c r="H247" s="3" t="s">
        <v>45</v>
      </c>
      <c r="I247" s="2">
        <f t="shared" si="5"/>
        <v>5400.66</v>
      </c>
      <c r="K247" s="2"/>
    </row>
    <row r="248" spans="1:13" x14ac:dyDescent="0.25">
      <c r="A248" s="14"/>
      <c r="B248" s="14">
        <v>30</v>
      </c>
      <c r="C248" s="1">
        <v>43174</v>
      </c>
      <c r="D248" t="s">
        <v>11</v>
      </c>
      <c r="E248" s="1" t="s">
        <v>244</v>
      </c>
      <c r="F248" s="2">
        <v>904.27</v>
      </c>
      <c r="I248" s="2">
        <f t="shared" si="5"/>
        <v>6304.93</v>
      </c>
    </row>
    <row r="249" spans="1:13" x14ac:dyDescent="0.25">
      <c r="A249" s="14">
        <v>217</v>
      </c>
      <c r="B249" s="14"/>
      <c r="C249" s="1">
        <v>43174</v>
      </c>
      <c r="D249" t="s">
        <v>11</v>
      </c>
      <c r="E249" s="1" t="s">
        <v>307</v>
      </c>
      <c r="G249" s="2">
        <v>16.059999999999999</v>
      </c>
      <c r="H249" s="3" t="s">
        <v>252</v>
      </c>
      <c r="I249" s="2">
        <f t="shared" si="5"/>
        <v>6288.87</v>
      </c>
      <c r="J249" s="6" t="s">
        <v>357</v>
      </c>
    </row>
    <row r="250" spans="1:13" x14ac:dyDescent="0.25">
      <c r="A250" s="14"/>
      <c r="B250" s="14">
        <v>31</v>
      </c>
      <c r="C250" s="1">
        <v>43177</v>
      </c>
      <c r="D250" t="s">
        <v>11</v>
      </c>
      <c r="E250" s="1" t="s">
        <v>299</v>
      </c>
      <c r="F250" s="2">
        <v>32.770000000000003</v>
      </c>
      <c r="I250" s="2">
        <f t="shared" si="5"/>
        <v>6321.64</v>
      </c>
      <c r="J250" s="6" t="s">
        <v>309</v>
      </c>
    </row>
    <row r="251" spans="1:13" x14ac:dyDescent="0.25">
      <c r="A251" s="14">
        <v>218</v>
      </c>
      <c r="B251" s="14"/>
      <c r="C251" s="1">
        <v>43180</v>
      </c>
      <c r="D251" t="s">
        <v>310</v>
      </c>
      <c r="E251" s="1" t="s">
        <v>311</v>
      </c>
      <c r="G251" s="2">
        <v>21</v>
      </c>
      <c r="H251" s="3" t="s">
        <v>45</v>
      </c>
      <c r="I251" s="2">
        <f t="shared" si="5"/>
        <v>6300.64</v>
      </c>
    </row>
    <row r="252" spans="1:13" x14ac:dyDescent="0.25">
      <c r="A252" s="14">
        <v>219</v>
      </c>
      <c r="B252" s="14"/>
      <c r="C252" s="1">
        <v>43180</v>
      </c>
      <c r="D252" t="s">
        <v>312</v>
      </c>
      <c r="E252" s="1" t="s">
        <v>313</v>
      </c>
      <c r="G252" s="2">
        <v>8.81</v>
      </c>
      <c r="H252" s="3" t="s">
        <v>45</v>
      </c>
      <c r="I252" s="2">
        <f t="shared" si="5"/>
        <v>6291.83</v>
      </c>
    </row>
    <row r="253" spans="1:13" x14ac:dyDescent="0.25">
      <c r="A253" s="14">
        <v>220</v>
      </c>
      <c r="B253" s="14"/>
      <c r="C253" s="1">
        <v>43181</v>
      </c>
      <c r="D253" t="s">
        <v>224</v>
      </c>
      <c r="E253" s="1" t="s">
        <v>105</v>
      </c>
      <c r="G253" s="2">
        <v>260</v>
      </c>
      <c r="H253" s="3" t="s">
        <v>245</v>
      </c>
      <c r="I253" s="2">
        <f>(I252+F253-G253)</f>
        <v>6031.83</v>
      </c>
    </row>
    <row r="254" spans="1:13" x14ac:dyDescent="0.25">
      <c r="A254" s="14">
        <v>221</v>
      </c>
      <c r="B254" s="14"/>
      <c r="C254" s="1">
        <v>43183</v>
      </c>
      <c r="D254" t="s">
        <v>320</v>
      </c>
      <c r="E254" s="1" t="s">
        <v>276</v>
      </c>
      <c r="G254" s="2">
        <v>15.26</v>
      </c>
      <c r="H254" s="3" t="s">
        <v>45</v>
      </c>
      <c r="I254" s="2">
        <f t="shared" ref="I254:I328" si="6">(I253+F254-G254)</f>
        <v>6016.57</v>
      </c>
    </row>
    <row r="255" spans="1:13" x14ac:dyDescent="0.25">
      <c r="A255" s="14">
        <v>222</v>
      </c>
      <c r="B255" s="14"/>
      <c r="C255" s="1">
        <v>43184</v>
      </c>
      <c r="D255" t="s">
        <v>314</v>
      </c>
      <c r="E255" s="1" t="s">
        <v>315</v>
      </c>
      <c r="G255" s="2">
        <v>20.7</v>
      </c>
      <c r="H255" s="3" t="s">
        <v>251</v>
      </c>
      <c r="I255" s="2">
        <f t="shared" si="6"/>
        <v>5995.87</v>
      </c>
    </row>
    <row r="256" spans="1:13" x14ac:dyDescent="0.25">
      <c r="A256" s="14">
        <v>223</v>
      </c>
      <c r="B256" s="14"/>
      <c r="C256" s="1">
        <v>43185</v>
      </c>
      <c r="D256" t="s">
        <v>192</v>
      </c>
      <c r="E256" s="1" t="s">
        <v>192</v>
      </c>
      <c r="G256" s="2">
        <v>19.16</v>
      </c>
      <c r="H256" s="3" t="s">
        <v>245</v>
      </c>
      <c r="I256" s="2">
        <f t="shared" si="6"/>
        <v>5976.71</v>
      </c>
      <c r="L256" s="19" t="s">
        <v>325</v>
      </c>
      <c r="M256" s="5"/>
    </row>
    <row r="257" spans="1:13" x14ac:dyDescent="0.25">
      <c r="A257" s="14">
        <v>224</v>
      </c>
      <c r="B257" s="14"/>
      <c r="C257" s="1">
        <v>43185</v>
      </c>
      <c r="D257" t="s">
        <v>11</v>
      </c>
      <c r="E257" s="1" t="s">
        <v>316</v>
      </c>
      <c r="G257" s="2">
        <v>35.75</v>
      </c>
      <c r="H257" s="3" t="s">
        <v>46</v>
      </c>
      <c r="I257" s="2">
        <f t="shared" si="6"/>
        <v>5940.96</v>
      </c>
      <c r="J257" s="6" t="s">
        <v>317</v>
      </c>
      <c r="K257" s="2"/>
      <c r="L257" s="2">
        <f>SUM(G233:G259)-G237</f>
        <v>1019.25</v>
      </c>
      <c r="M257" s="5"/>
    </row>
    <row r="258" spans="1:13" x14ac:dyDescent="0.25">
      <c r="A258" s="14">
        <v>225</v>
      </c>
      <c r="B258" s="14"/>
      <c r="C258" s="1">
        <v>43187</v>
      </c>
      <c r="D258" t="s">
        <v>151</v>
      </c>
      <c r="E258" s="1" t="s">
        <v>318</v>
      </c>
      <c r="G258" s="2">
        <v>7.63</v>
      </c>
      <c r="H258" s="3" t="s">
        <v>45</v>
      </c>
      <c r="I258" s="2">
        <f t="shared" si="6"/>
        <v>5933.33</v>
      </c>
      <c r="K258" s="2"/>
      <c r="L258" s="16">
        <f>L257/L12</f>
        <v>8.1653858139790161E-2</v>
      </c>
      <c r="M258" s="17"/>
    </row>
    <row r="259" spans="1:13" x14ac:dyDescent="0.25">
      <c r="A259" s="14"/>
      <c r="B259" s="14">
        <v>32</v>
      </c>
      <c r="C259" s="1">
        <v>43188</v>
      </c>
      <c r="D259" t="s">
        <v>11</v>
      </c>
      <c r="E259" s="1" t="s">
        <v>244</v>
      </c>
      <c r="F259" s="2">
        <v>904.27</v>
      </c>
      <c r="I259" s="2">
        <f t="shared" si="6"/>
        <v>6837.6</v>
      </c>
      <c r="K259" s="2"/>
      <c r="L259" s="16"/>
      <c r="M259" s="17"/>
    </row>
    <row r="260" spans="1:13" x14ac:dyDescent="0.25">
      <c r="A260" s="14">
        <v>226</v>
      </c>
      <c r="B260" s="14"/>
      <c r="C260" s="1">
        <v>43191</v>
      </c>
      <c r="D260" t="s">
        <v>298</v>
      </c>
      <c r="E260" s="1" t="s">
        <v>319</v>
      </c>
      <c r="G260" s="2">
        <v>220.92</v>
      </c>
      <c r="H260" s="3" t="s">
        <v>46</v>
      </c>
      <c r="I260" s="2">
        <f t="shared" si="6"/>
        <v>6616.68</v>
      </c>
    </row>
    <row r="261" spans="1:13" x14ac:dyDescent="0.25">
      <c r="A261" s="14"/>
      <c r="B261" s="14">
        <v>33</v>
      </c>
      <c r="C261" s="1">
        <v>43191</v>
      </c>
      <c r="D261" t="s">
        <v>11</v>
      </c>
      <c r="E261" s="1" t="s">
        <v>231</v>
      </c>
      <c r="F261" s="2">
        <v>570</v>
      </c>
      <c r="I261" s="2">
        <f t="shared" si="6"/>
        <v>7186.68</v>
      </c>
    </row>
    <row r="262" spans="1:13" x14ac:dyDescent="0.25">
      <c r="A262" s="14">
        <v>227</v>
      </c>
      <c r="B262" s="14"/>
      <c r="C262" s="1">
        <v>43191</v>
      </c>
      <c r="D262" t="s">
        <v>11</v>
      </c>
      <c r="E262" s="1" t="s">
        <v>76</v>
      </c>
      <c r="G262" s="2">
        <v>560</v>
      </c>
      <c r="H262" s="3" t="s">
        <v>76</v>
      </c>
      <c r="I262" s="2">
        <f t="shared" si="6"/>
        <v>6626.68</v>
      </c>
    </row>
    <row r="263" spans="1:13" x14ac:dyDescent="0.25">
      <c r="A263" s="14"/>
      <c r="B263" s="14">
        <v>34</v>
      </c>
      <c r="C263" s="1">
        <v>43192</v>
      </c>
      <c r="D263" t="s">
        <v>11</v>
      </c>
      <c r="E263" s="1" t="s">
        <v>140</v>
      </c>
      <c r="F263" s="2">
        <v>0.06</v>
      </c>
      <c r="I263" s="2">
        <f t="shared" si="6"/>
        <v>6626.7400000000007</v>
      </c>
    </row>
    <row r="264" spans="1:13" x14ac:dyDescent="0.25">
      <c r="A264" s="14">
        <v>228</v>
      </c>
      <c r="B264" s="14"/>
      <c r="C264" s="1">
        <v>43193</v>
      </c>
      <c r="D264" t="s">
        <v>297</v>
      </c>
      <c r="E264" s="1" t="s">
        <v>296</v>
      </c>
      <c r="G264" s="2">
        <v>4.95</v>
      </c>
      <c r="H264" s="3" t="s">
        <v>45</v>
      </c>
      <c r="I264" s="2">
        <f t="shared" si="6"/>
        <v>6621.7900000000009</v>
      </c>
    </row>
    <row r="265" spans="1:13" x14ac:dyDescent="0.25">
      <c r="A265" s="14"/>
      <c r="B265" s="14">
        <v>35</v>
      </c>
      <c r="C265" s="1">
        <v>43195</v>
      </c>
      <c r="D265" t="s">
        <v>11</v>
      </c>
      <c r="E265" s="1" t="s">
        <v>82</v>
      </c>
      <c r="F265" s="2">
        <v>106.75</v>
      </c>
      <c r="I265" s="2">
        <f t="shared" si="6"/>
        <v>6728.5400000000009</v>
      </c>
    </row>
    <row r="266" spans="1:13" x14ac:dyDescent="0.25">
      <c r="A266" s="14">
        <v>229</v>
      </c>
      <c r="B266" s="14"/>
      <c r="C266" s="1">
        <v>43196</v>
      </c>
      <c r="D266" t="s">
        <v>11</v>
      </c>
      <c r="E266" s="1" t="s">
        <v>321</v>
      </c>
      <c r="G266" s="2">
        <v>80</v>
      </c>
      <c r="H266" s="3" t="s">
        <v>46</v>
      </c>
      <c r="I266" s="2">
        <f t="shared" si="6"/>
        <v>6648.5400000000009</v>
      </c>
    </row>
    <row r="267" spans="1:13" x14ac:dyDescent="0.25">
      <c r="A267" s="14"/>
      <c r="B267" s="14">
        <v>36</v>
      </c>
      <c r="C267" s="1">
        <v>43196</v>
      </c>
      <c r="D267" t="s">
        <v>11</v>
      </c>
      <c r="E267" s="1" t="s">
        <v>321</v>
      </c>
      <c r="F267" s="2">
        <v>50</v>
      </c>
      <c r="I267" s="2">
        <f t="shared" si="6"/>
        <v>6698.5400000000009</v>
      </c>
      <c r="J267" s="6" t="s">
        <v>322</v>
      </c>
    </row>
    <row r="268" spans="1:13" x14ac:dyDescent="0.25">
      <c r="A268" s="14">
        <v>230</v>
      </c>
      <c r="B268" s="14"/>
      <c r="C268" s="1">
        <v>43197</v>
      </c>
      <c r="D268" t="s">
        <v>330</v>
      </c>
      <c r="E268" s="1" t="s">
        <v>92</v>
      </c>
      <c r="G268" s="2">
        <v>20</v>
      </c>
      <c r="H268" s="3" t="s">
        <v>45</v>
      </c>
      <c r="I268" s="2">
        <f t="shared" si="6"/>
        <v>6678.5400000000009</v>
      </c>
    </row>
    <row r="269" spans="1:13" x14ac:dyDescent="0.25">
      <c r="A269" s="14"/>
      <c r="B269" s="14">
        <v>37</v>
      </c>
      <c r="C269" s="1">
        <v>43198</v>
      </c>
      <c r="D269" t="s">
        <v>11</v>
      </c>
      <c r="E269" s="1" t="s">
        <v>331</v>
      </c>
      <c r="F269" s="2">
        <v>50</v>
      </c>
      <c r="I269" s="2">
        <f t="shared" si="6"/>
        <v>6728.5400000000009</v>
      </c>
      <c r="J269" s="6" t="s">
        <v>322</v>
      </c>
    </row>
    <row r="270" spans="1:13" x14ac:dyDescent="0.25">
      <c r="A270" s="14"/>
      <c r="B270" s="14">
        <v>38</v>
      </c>
      <c r="C270" s="1">
        <v>43202</v>
      </c>
      <c r="D270" t="s">
        <v>11</v>
      </c>
      <c r="E270" s="1" t="s">
        <v>244</v>
      </c>
      <c r="F270" s="2">
        <v>901.13</v>
      </c>
      <c r="I270" s="2">
        <f t="shared" si="6"/>
        <v>7629.670000000001</v>
      </c>
    </row>
    <row r="271" spans="1:13" x14ac:dyDescent="0.25">
      <c r="A271" s="14"/>
      <c r="B271" s="14">
        <v>39</v>
      </c>
      <c r="C271" s="1">
        <v>43205</v>
      </c>
      <c r="D271" t="s">
        <v>11</v>
      </c>
      <c r="E271" s="1" t="s">
        <v>333</v>
      </c>
      <c r="F271" s="2">
        <v>2000</v>
      </c>
      <c r="I271" s="2">
        <f t="shared" si="6"/>
        <v>9629.6700000000019</v>
      </c>
      <c r="J271" s="6" t="s">
        <v>322</v>
      </c>
    </row>
    <row r="272" spans="1:13" x14ac:dyDescent="0.25">
      <c r="A272" s="14">
        <v>231</v>
      </c>
      <c r="B272" s="14"/>
      <c r="C272" s="1">
        <v>43205</v>
      </c>
      <c r="D272" t="s">
        <v>11</v>
      </c>
      <c r="E272" s="1" t="s">
        <v>332</v>
      </c>
      <c r="G272" s="2">
        <v>9119.2199999999993</v>
      </c>
      <c r="H272" s="3" t="s">
        <v>334</v>
      </c>
      <c r="I272" s="2">
        <f t="shared" si="6"/>
        <v>510.45000000000255</v>
      </c>
    </row>
    <row r="273" spans="1:13" x14ac:dyDescent="0.25">
      <c r="A273" s="14">
        <v>232</v>
      </c>
      <c r="B273" s="14"/>
      <c r="C273" s="1">
        <v>43206</v>
      </c>
      <c r="D273" s="14" t="s">
        <v>336</v>
      </c>
      <c r="E273" s="1" t="s">
        <v>337</v>
      </c>
      <c r="G273" s="2">
        <v>38</v>
      </c>
      <c r="H273" s="3" t="s">
        <v>45</v>
      </c>
      <c r="I273" s="2">
        <f t="shared" si="6"/>
        <v>472.45000000000255</v>
      </c>
    </row>
    <row r="274" spans="1:13" x14ac:dyDescent="0.25">
      <c r="A274" s="14">
        <v>233</v>
      </c>
      <c r="B274" s="14"/>
      <c r="C274" s="1">
        <v>43207</v>
      </c>
      <c r="D274" s="14" t="s">
        <v>224</v>
      </c>
      <c r="E274" s="1" t="s">
        <v>105</v>
      </c>
      <c r="G274" s="2">
        <v>40</v>
      </c>
      <c r="H274" s="3" t="s">
        <v>245</v>
      </c>
      <c r="I274" s="2">
        <f t="shared" si="6"/>
        <v>432.45000000000255</v>
      </c>
    </row>
    <row r="275" spans="1:13" x14ac:dyDescent="0.25">
      <c r="A275" s="14">
        <v>234</v>
      </c>
      <c r="B275" s="14"/>
      <c r="C275" s="1">
        <v>43210</v>
      </c>
      <c r="D275" s="14" t="s">
        <v>300</v>
      </c>
      <c r="E275" s="1" t="s">
        <v>338</v>
      </c>
      <c r="G275" s="2">
        <v>105</v>
      </c>
      <c r="H275" s="3" t="s">
        <v>46</v>
      </c>
      <c r="I275" s="2">
        <f t="shared" si="6"/>
        <v>327.45000000000255</v>
      </c>
      <c r="K275" s="4"/>
    </row>
    <row r="276" spans="1:13" x14ac:dyDescent="0.25">
      <c r="A276" s="14">
        <v>235</v>
      </c>
      <c r="B276" s="14"/>
      <c r="C276" s="1">
        <v>43211</v>
      </c>
      <c r="D276" s="14" t="s">
        <v>237</v>
      </c>
      <c r="E276" s="1" t="s">
        <v>339</v>
      </c>
      <c r="G276" s="2">
        <v>38</v>
      </c>
      <c r="H276" s="3" t="s">
        <v>46</v>
      </c>
      <c r="I276" s="2">
        <f t="shared" si="6"/>
        <v>289.45000000000255</v>
      </c>
      <c r="K276" s="2"/>
      <c r="L276" s="16"/>
      <c r="M276" s="17"/>
    </row>
    <row r="277" spans="1:13" x14ac:dyDescent="0.25">
      <c r="A277" s="14">
        <v>236</v>
      </c>
      <c r="B277" s="14"/>
      <c r="C277" s="1">
        <v>43211</v>
      </c>
      <c r="D277" s="14" t="s">
        <v>340</v>
      </c>
      <c r="E277" s="1" t="s">
        <v>341</v>
      </c>
      <c r="G277" s="2">
        <v>17.23</v>
      </c>
      <c r="H277" s="3" t="s">
        <v>46</v>
      </c>
      <c r="I277" s="2">
        <f t="shared" si="6"/>
        <v>272.22000000000253</v>
      </c>
      <c r="K277" s="2"/>
      <c r="L277" s="16"/>
      <c r="M277" s="17"/>
    </row>
    <row r="278" spans="1:13" x14ac:dyDescent="0.25">
      <c r="A278" s="14">
        <v>237</v>
      </c>
      <c r="B278" s="14"/>
      <c r="C278" s="1">
        <v>43211</v>
      </c>
      <c r="D278" s="14" t="s">
        <v>342</v>
      </c>
      <c r="E278" s="1" t="s">
        <v>343</v>
      </c>
      <c r="G278" s="2">
        <v>11.27</v>
      </c>
      <c r="H278" s="3" t="s">
        <v>46</v>
      </c>
      <c r="I278" s="2">
        <f t="shared" si="6"/>
        <v>260.95000000000255</v>
      </c>
    </row>
    <row r="279" spans="1:13" x14ac:dyDescent="0.25">
      <c r="A279" s="14">
        <v>238</v>
      </c>
      <c r="B279" s="14"/>
      <c r="C279" s="1">
        <v>43211</v>
      </c>
      <c r="D279" s="14" t="s">
        <v>344</v>
      </c>
      <c r="E279" s="1" t="s">
        <v>345</v>
      </c>
      <c r="G279" s="2">
        <v>63.27</v>
      </c>
      <c r="H279" s="3" t="s">
        <v>46</v>
      </c>
      <c r="I279" s="2">
        <f t="shared" si="6"/>
        <v>197.68000000000254</v>
      </c>
    </row>
    <row r="280" spans="1:13" x14ac:dyDescent="0.25">
      <c r="A280" s="14">
        <v>239</v>
      </c>
      <c r="B280" s="14"/>
      <c r="C280" s="1">
        <v>43211</v>
      </c>
      <c r="D280" s="14" t="s">
        <v>346</v>
      </c>
      <c r="E280" s="1" t="s">
        <v>347</v>
      </c>
      <c r="G280" s="2">
        <v>18.309999999999999</v>
      </c>
      <c r="H280" s="3" t="s">
        <v>45</v>
      </c>
      <c r="I280" s="2">
        <f t="shared" si="6"/>
        <v>179.37000000000253</v>
      </c>
    </row>
    <row r="281" spans="1:13" x14ac:dyDescent="0.25">
      <c r="A281" s="14">
        <v>240</v>
      </c>
      <c r="B281" s="14"/>
      <c r="C281" s="1">
        <v>43213</v>
      </c>
      <c r="D281" s="14" t="s">
        <v>352</v>
      </c>
      <c r="E281" s="1" t="s">
        <v>105</v>
      </c>
      <c r="G281" s="2">
        <v>20</v>
      </c>
      <c r="H281" s="3" t="s">
        <v>245</v>
      </c>
      <c r="I281" s="2">
        <f t="shared" si="6"/>
        <v>159.37000000000253</v>
      </c>
    </row>
    <row r="282" spans="1:13" x14ac:dyDescent="0.25">
      <c r="A282" s="14">
        <v>241</v>
      </c>
      <c r="B282" s="14"/>
      <c r="C282" s="1">
        <v>43214</v>
      </c>
      <c r="D282" s="14" t="s">
        <v>348</v>
      </c>
      <c r="E282" s="1" t="s">
        <v>349</v>
      </c>
      <c r="G282" s="2">
        <v>57.46</v>
      </c>
      <c r="H282" s="3" t="s">
        <v>252</v>
      </c>
      <c r="I282" s="2">
        <f t="shared" si="6"/>
        <v>101.91000000000253</v>
      </c>
      <c r="K282" s="2"/>
      <c r="L282" s="16"/>
      <c r="M282" s="17"/>
    </row>
    <row r="283" spans="1:13" x14ac:dyDescent="0.25">
      <c r="A283" s="14">
        <v>242</v>
      </c>
      <c r="B283" s="14"/>
      <c r="C283" s="1">
        <v>43215</v>
      </c>
      <c r="D283" s="14" t="s">
        <v>354</v>
      </c>
      <c r="E283" s="1" t="s">
        <v>353</v>
      </c>
      <c r="G283" s="2">
        <v>42</v>
      </c>
      <c r="H283" s="3" t="s">
        <v>45</v>
      </c>
      <c r="I283" s="2">
        <f t="shared" si="6"/>
        <v>59.910000000002526</v>
      </c>
      <c r="K283" s="2"/>
      <c r="L283" s="16"/>
      <c r="M283" s="17"/>
    </row>
    <row r="284" spans="1:13" x14ac:dyDescent="0.25">
      <c r="A284" s="14"/>
      <c r="B284" s="14">
        <v>40</v>
      </c>
      <c r="C284" s="1">
        <v>43216</v>
      </c>
      <c r="D284" s="14" t="s">
        <v>11</v>
      </c>
      <c r="E284" s="1" t="s">
        <v>244</v>
      </c>
      <c r="F284" s="2">
        <v>904.27</v>
      </c>
      <c r="I284" s="2">
        <f t="shared" si="6"/>
        <v>964.18000000000256</v>
      </c>
      <c r="K284" s="2"/>
      <c r="L284" s="16"/>
      <c r="M284" s="17"/>
    </row>
    <row r="285" spans="1:13" x14ac:dyDescent="0.25">
      <c r="A285" s="14">
        <v>243</v>
      </c>
      <c r="B285" s="14"/>
      <c r="C285" s="1">
        <v>43216</v>
      </c>
      <c r="D285" s="14" t="s">
        <v>224</v>
      </c>
      <c r="E285" s="1" t="s">
        <v>105</v>
      </c>
      <c r="G285" s="2">
        <v>20</v>
      </c>
      <c r="H285" s="3" t="s">
        <v>245</v>
      </c>
      <c r="I285" s="2">
        <f t="shared" si="6"/>
        <v>944.18000000000256</v>
      </c>
      <c r="K285" s="2"/>
      <c r="L285" s="16"/>
      <c r="M285" s="17"/>
    </row>
    <row r="286" spans="1:13" x14ac:dyDescent="0.25">
      <c r="A286" s="14">
        <v>244</v>
      </c>
      <c r="B286" s="14"/>
      <c r="C286" s="1">
        <v>43216</v>
      </c>
      <c r="D286" s="14" t="s">
        <v>297</v>
      </c>
      <c r="E286" s="1" t="s">
        <v>52</v>
      </c>
      <c r="G286" s="2">
        <v>2.2999999999999998</v>
      </c>
      <c r="H286" s="3" t="s">
        <v>45</v>
      </c>
      <c r="I286" s="2">
        <f t="shared" si="6"/>
        <v>941.88000000000261</v>
      </c>
      <c r="K286" s="2"/>
      <c r="L286" s="16"/>
      <c r="M286" s="17"/>
    </row>
    <row r="287" spans="1:13" x14ac:dyDescent="0.25">
      <c r="A287" s="14">
        <v>245</v>
      </c>
      <c r="B287" s="14"/>
      <c r="C287" s="1">
        <v>43216</v>
      </c>
      <c r="D287" s="14" t="s">
        <v>11</v>
      </c>
      <c r="E287" s="1" t="s">
        <v>358</v>
      </c>
      <c r="G287" s="2">
        <v>48.37</v>
      </c>
      <c r="H287" s="3" t="s">
        <v>46</v>
      </c>
      <c r="I287" s="2">
        <f t="shared" si="6"/>
        <v>893.51000000000261</v>
      </c>
    </row>
    <row r="288" spans="1:13" x14ac:dyDescent="0.25">
      <c r="A288" s="14">
        <v>246</v>
      </c>
      <c r="B288" s="14"/>
      <c r="C288" s="1">
        <v>43217</v>
      </c>
      <c r="D288" s="14" t="s">
        <v>141</v>
      </c>
      <c r="E288" s="1" t="s">
        <v>142</v>
      </c>
      <c r="G288" s="2">
        <v>40</v>
      </c>
      <c r="H288" s="3" t="s">
        <v>46</v>
      </c>
      <c r="I288" s="2">
        <f t="shared" si="6"/>
        <v>853.51000000000261</v>
      </c>
    </row>
    <row r="289" spans="1:13" x14ac:dyDescent="0.25">
      <c r="A289" s="14">
        <v>247</v>
      </c>
      <c r="B289" s="14"/>
      <c r="C289" s="1">
        <v>43217</v>
      </c>
      <c r="D289" s="14" t="s">
        <v>350</v>
      </c>
      <c r="E289" s="1" t="s">
        <v>351</v>
      </c>
      <c r="G289" s="2">
        <v>10</v>
      </c>
      <c r="H289" s="3" t="s">
        <v>46</v>
      </c>
      <c r="I289" s="2">
        <f t="shared" si="6"/>
        <v>843.51000000000261</v>
      </c>
    </row>
    <row r="290" spans="1:13" x14ac:dyDescent="0.25">
      <c r="A290" s="14">
        <v>248</v>
      </c>
      <c r="B290" s="14"/>
      <c r="C290" s="1">
        <v>43218</v>
      </c>
      <c r="D290" s="14" t="s">
        <v>215</v>
      </c>
      <c r="E290" s="1" t="s">
        <v>362</v>
      </c>
      <c r="G290" s="2">
        <v>44.07</v>
      </c>
      <c r="H290" s="3" t="s">
        <v>46</v>
      </c>
      <c r="I290" s="2">
        <f t="shared" si="6"/>
        <v>799.44000000000256</v>
      </c>
    </row>
    <row r="291" spans="1:13" x14ac:dyDescent="0.25">
      <c r="A291" s="14">
        <v>249</v>
      </c>
      <c r="B291" s="14"/>
      <c r="C291" s="1">
        <v>43219</v>
      </c>
      <c r="D291" s="14" t="s">
        <v>363</v>
      </c>
      <c r="E291" s="1" t="s">
        <v>364</v>
      </c>
      <c r="G291" s="2">
        <v>15</v>
      </c>
      <c r="H291" s="3" t="s">
        <v>45</v>
      </c>
      <c r="I291" s="2">
        <f t="shared" si="6"/>
        <v>784.44000000000256</v>
      </c>
      <c r="J291" s="6" t="s">
        <v>34</v>
      </c>
      <c r="K291" s="2"/>
      <c r="L291" s="16"/>
      <c r="M291" s="17"/>
    </row>
    <row r="292" spans="1:13" x14ac:dyDescent="0.25">
      <c r="A292" s="14">
        <v>250</v>
      </c>
      <c r="B292" s="14"/>
      <c r="C292" s="1">
        <v>43219</v>
      </c>
      <c r="D292" s="14" t="s">
        <v>11</v>
      </c>
      <c r="E292" s="1" t="s">
        <v>356</v>
      </c>
      <c r="G292" s="2">
        <v>27.55</v>
      </c>
      <c r="H292" s="3" t="s">
        <v>252</v>
      </c>
      <c r="I292" s="2">
        <f t="shared" si="6"/>
        <v>756.8900000000026</v>
      </c>
      <c r="J292" s="6" t="s">
        <v>357</v>
      </c>
      <c r="K292" s="2"/>
      <c r="L292" s="19" t="s">
        <v>388</v>
      </c>
      <c r="M292" s="5"/>
    </row>
    <row r="293" spans="1:13" x14ac:dyDescent="0.25">
      <c r="A293" s="14">
        <v>251</v>
      </c>
      <c r="B293" s="14"/>
      <c r="C293" s="1">
        <v>43219</v>
      </c>
      <c r="D293" s="14" t="s">
        <v>11</v>
      </c>
      <c r="E293" s="1" t="s">
        <v>355</v>
      </c>
      <c r="G293" s="2">
        <v>23.81</v>
      </c>
      <c r="H293" s="3" t="s">
        <v>252</v>
      </c>
      <c r="I293" s="2">
        <f t="shared" si="6"/>
        <v>733.08000000000266</v>
      </c>
      <c r="J293" s="6" t="s">
        <v>357</v>
      </c>
      <c r="L293" s="2">
        <f>SUM(G260:G294)-G262-G272</f>
        <v>1112.5099999999984</v>
      </c>
      <c r="M293" s="17"/>
    </row>
    <row r="294" spans="1:13" x14ac:dyDescent="0.25">
      <c r="A294" s="14">
        <v>252</v>
      </c>
      <c r="B294" s="14"/>
      <c r="C294" s="1">
        <v>43220</v>
      </c>
      <c r="D294" s="14" t="s">
        <v>365</v>
      </c>
      <c r="E294" s="1" t="s">
        <v>366</v>
      </c>
      <c r="G294" s="2">
        <v>105</v>
      </c>
      <c r="H294" s="3" t="s">
        <v>45</v>
      </c>
      <c r="I294" s="2">
        <f t="shared" si="6"/>
        <v>628.08000000000266</v>
      </c>
      <c r="L294" s="16">
        <f>L293/L12</f>
        <v>8.9125076005982656E-2</v>
      </c>
    </row>
    <row r="295" spans="1:13" x14ac:dyDescent="0.25">
      <c r="A295" s="14">
        <v>253</v>
      </c>
      <c r="B295" s="14"/>
      <c r="C295" s="1">
        <v>43221</v>
      </c>
      <c r="D295" s="14" t="s">
        <v>11</v>
      </c>
      <c r="E295" s="1" t="s">
        <v>76</v>
      </c>
      <c r="G295" s="2">
        <v>560</v>
      </c>
      <c r="H295" s="3" t="s">
        <v>76</v>
      </c>
      <c r="I295" s="2">
        <f t="shared" si="6"/>
        <v>68.080000000002656</v>
      </c>
    </row>
    <row r="296" spans="1:13" x14ac:dyDescent="0.25">
      <c r="A296" s="14">
        <v>254</v>
      </c>
      <c r="B296" s="14"/>
      <c r="C296" s="1">
        <v>43221</v>
      </c>
      <c r="D296" s="14" t="s">
        <v>117</v>
      </c>
      <c r="E296" s="1" t="s">
        <v>367</v>
      </c>
      <c r="G296" s="2">
        <v>10</v>
      </c>
      <c r="H296" s="3" t="s">
        <v>45</v>
      </c>
      <c r="I296" s="2">
        <f t="shared" si="6"/>
        <v>58.080000000002656</v>
      </c>
    </row>
    <row r="297" spans="1:13" x14ac:dyDescent="0.25">
      <c r="A297" s="14"/>
      <c r="B297" s="14">
        <v>41</v>
      </c>
      <c r="C297" s="1">
        <v>43221</v>
      </c>
      <c r="D297" s="14" t="s">
        <v>11</v>
      </c>
      <c r="E297" s="1" t="s">
        <v>140</v>
      </c>
      <c r="F297" s="2">
        <v>0.05</v>
      </c>
      <c r="I297" s="2">
        <f t="shared" si="6"/>
        <v>58.130000000002653</v>
      </c>
    </row>
    <row r="298" spans="1:13" x14ac:dyDescent="0.25">
      <c r="A298" s="14">
        <v>255</v>
      </c>
      <c r="B298" s="14"/>
      <c r="C298" s="1">
        <v>43222</v>
      </c>
      <c r="D298" s="14" t="s">
        <v>67</v>
      </c>
      <c r="E298" s="1" t="s">
        <v>128</v>
      </c>
      <c r="G298" s="2">
        <v>5.99</v>
      </c>
      <c r="H298" s="3" t="s">
        <v>45</v>
      </c>
      <c r="I298" s="2">
        <f t="shared" si="6"/>
        <v>52.140000000002651</v>
      </c>
    </row>
    <row r="299" spans="1:13" x14ac:dyDescent="0.25">
      <c r="A299" s="14">
        <v>256</v>
      </c>
      <c r="B299" s="14"/>
      <c r="C299" s="1">
        <v>43222</v>
      </c>
      <c r="D299" s="14" t="s">
        <v>26</v>
      </c>
      <c r="E299" s="1" t="s">
        <v>368</v>
      </c>
      <c r="G299" s="2">
        <v>6.64</v>
      </c>
      <c r="H299" s="3" t="s">
        <v>44</v>
      </c>
      <c r="I299" s="2">
        <f t="shared" si="6"/>
        <v>45.50000000000265</v>
      </c>
    </row>
    <row r="300" spans="1:13" x14ac:dyDescent="0.25">
      <c r="A300" s="14">
        <v>257</v>
      </c>
      <c r="B300" s="14"/>
      <c r="C300" s="1">
        <v>43225</v>
      </c>
      <c r="D300" s="14" t="s">
        <v>370</v>
      </c>
      <c r="E300" s="1" t="s">
        <v>157</v>
      </c>
      <c r="G300" s="2">
        <v>6</v>
      </c>
      <c r="H300" s="3" t="s">
        <v>45</v>
      </c>
      <c r="I300" s="2">
        <f t="shared" si="6"/>
        <v>39.50000000000265</v>
      </c>
    </row>
    <row r="301" spans="1:13" x14ac:dyDescent="0.25">
      <c r="A301" s="14">
        <v>258</v>
      </c>
      <c r="B301" s="14"/>
      <c r="C301" s="1">
        <v>43225</v>
      </c>
      <c r="D301" s="14" t="s">
        <v>194</v>
      </c>
      <c r="E301" s="1" t="s">
        <v>369</v>
      </c>
      <c r="G301" s="2">
        <v>18.87</v>
      </c>
      <c r="H301" s="3" t="s">
        <v>46</v>
      </c>
      <c r="I301" s="2">
        <f t="shared" si="6"/>
        <v>20.630000000002649</v>
      </c>
    </row>
    <row r="302" spans="1:13" x14ac:dyDescent="0.25">
      <c r="A302" s="14">
        <v>259</v>
      </c>
      <c r="B302" s="14"/>
      <c r="C302" s="1">
        <v>43225</v>
      </c>
      <c r="D302" s="14" t="s">
        <v>18</v>
      </c>
      <c r="E302" s="1" t="s">
        <v>19</v>
      </c>
      <c r="G302" s="2">
        <v>12.95</v>
      </c>
      <c r="H302" s="3" t="s">
        <v>251</v>
      </c>
      <c r="I302" s="2">
        <f t="shared" si="6"/>
        <v>7.68000000000265</v>
      </c>
    </row>
    <row r="303" spans="1:13" x14ac:dyDescent="0.25">
      <c r="A303" s="14">
        <v>260</v>
      </c>
      <c r="B303" s="14"/>
      <c r="C303" s="1">
        <v>43226</v>
      </c>
      <c r="D303" s="14" t="s">
        <v>61</v>
      </c>
      <c r="E303" s="1" t="s">
        <v>4</v>
      </c>
      <c r="G303" s="2">
        <v>10</v>
      </c>
      <c r="H303" s="3" t="s">
        <v>44</v>
      </c>
      <c r="I303" s="2">
        <f t="shared" si="6"/>
        <v>-2.31999999999735</v>
      </c>
      <c r="J303" s="6" t="s">
        <v>34</v>
      </c>
    </row>
    <row r="304" spans="1:13" x14ac:dyDescent="0.25">
      <c r="A304" s="14">
        <v>261</v>
      </c>
      <c r="B304" s="14"/>
      <c r="C304" s="1">
        <v>43226</v>
      </c>
      <c r="D304" s="14" t="s">
        <v>183</v>
      </c>
      <c r="E304" s="1" t="s">
        <v>371</v>
      </c>
      <c r="G304" s="2">
        <v>34.39</v>
      </c>
      <c r="H304" s="3" t="s">
        <v>45</v>
      </c>
      <c r="I304" s="2">
        <f t="shared" si="6"/>
        <v>-36.709999999997351</v>
      </c>
      <c r="J304" s="6" t="s">
        <v>34</v>
      </c>
    </row>
    <row r="305" spans="1:13" x14ac:dyDescent="0.25">
      <c r="A305" s="14">
        <v>262</v>
      </c>
      <c r="B305" s="14"/>
      <c r="C305" s="1">
        <v>43227</v>
      </c>
      <c r="D305" s="14" t="s">
        <v>11</v>
      </c>
      <c r="E305" s="1" t="s">
        <v>372</v>
      </c>
      <c r="G305" s="2">
        <v>81.150000000000006</v>
      </c>
      <c r="H305" s="3" t="s">
        <v>46</v>
      </c>
      <c r="I305" s="2">
        <f t="shared" si="6"/>
        <v>-117.85999999999736</v>
      </c>
      <c r="J305" s="6" t="s">
        <v>373</v>
      </c>
    </row>
    <row r="306" spans="1:13" x14ac:dyDescent="0.25">
      <c r="A306" s="14">
        <v>263</v>
      </c>
      <c r="B306" s="14"/>
      <c r="C306" s="1">
        <v>43229</v>
      </c>
      <c r="D306" s="14" t="s">
        <v>370</v>
      </c>
      <c r="E306" s="1" t="s">
        <v>374</v>
      </c>
      <c r="G306" s="2">
        <v>11</v>
      </c>
      <c r="H306" s="3" t="s">
        <v>45</v>
      </c>
      <c r="I306" s="2">
        <f t="shared" si="6"/>
        <v>-128.85999999999734</v>
      </c>
      <c r="J306" s="6" t="s">
        <v>34</v>
      </c>
    </row>
    <row r="307" spans="1:13" x14ac:dyDescent="0.25">
      <c r="A307" s="14"/>
      <c r="B307" s="14">
        <v>42</v>
      </c>
      <c r="C307" s="1">
        <v>43229</v>
      </c>
      <c r="D307" s="14" t="s">
        <v>11</v>
      </c>
      <c r="E307" s="1" t="s">
        <v>74</v>
      </c>
      <c r="F307" s="2">
        <v>3150</v>
      </c>
      <c r="I307" s="2">
        <f t="shared" si="6"/>
        <v>3021.1400000000026</v>
      </c>
      <c r="K307" s="2"/>
      <c r="L307" s="16"/>
      <c r="M307" s="17"/>
    </row>
    <row r="308" spans="1:13" x14ac:dyDescent="0.25">
      <c r="A308" s="14"/>
      <c r="B308" s="14">
        <v>43</v>
      </c>
      <c r="C308" s="1">
        <v>43229</v>
      </c>
      <c r="D308" s="14" t="s">
        <v>11</v>
      </c>
      <c r="E308" s="1" t="s">
        <v>74</v>
      </c>
      <c r="F308" s="2">
        <v>980</v>
      </c>
      <c r="I308" s="2">
        <f t="shared" si="6"/>
        <v>4001.1400000000026</v>
      </c>
    </row>
    <row r="309" spans="1:13" x14ac:dyDescent="0.25">
      <c r="A309" s="14">
        <v>264</v>
      </c>
      <c r="B309" s="14"/>
      <c r="C309" s="1">
        <v>43229</v>
      </c>
      <c r="D309" s="14" t="s">
        <v>11</v>
      </c>
      <c r="E309" s="1" t="s">
        <v>375</v>
      </c>
      <c r="G309" s="2">
        <v>20.48</v>
      </c>
      <c r="H309" s="3" t="s">
        <v>44</v>
      </c>
      <c r="I309" s="2">
        <f t="shared" si="6"/>
        <v>3980.6600000000026</v>
      </c>
      <c r="J309" s="6" t="s">
        <v>376</v>
      </c>
    </row>
    <row r="310" spans="1:13" x14ac:dyDescent="0.25">
      <c r="A310" s="14">
        <v>265</v>
      </c>
      <c r="B310" s="14"/>
      <c r="C310" s="1">
        <v>43230</v>
      </c>
      <c r="D310" s="14" t="s">
        <v>15</v>
      </c>
      <c r="E310" s="1" t="s">
        <v>378</v>
      </c>
      <c r="G310" s="2">
        <v>3.68</v>
      </c>
      <c r="H310" s="3" t="s">
        <v>252</v>
      </c>
      <c r="I310" s="2">
        <f t="shared" si="6"/>
        <v>3976.9800000000027</v>
      </c>
      <c r="J310" s="6" t="s">
        <v>34</v>
      </c>
    </row>
    <row r="311" spans="1:13" x14ac:dyDescent="0.25">
      <c r="A311" s="14">
        <v>266</v>
      </c>
      <c r="B311" s="14"/>
      <c r="C311" s="1">
        <v>43230</v>
      </c>
      <c r="D311" s="14" t="s">
        <v>78</v>
      </c>
      <c r="E311" s="1" t="s">
        <v>78</v>
      </c>
      <c r="G311" s="2">
        <v>21.88</v>
      </c>
      <c r="H311" s="3" t="s">
        <v>45</v>
      </c>
      <c r="I311" s="2">
        <f t="shared" si="6"/>
        <v>3955.1000000000026</v>
      </c>
      <c r="J311" s="6" t="s">
        <v>34</v>
      </c>
    </row>
    <row r="312" spans="1:13" x14ac:dyDescent="0.25">
      <c r="A312" s="14">
        <v>267</v>
      </c>
      <c r="B312" s="14"/>
      <c r="C312" s="1">
        <v>43230</v>
      </c>
      <c r="D312" s="14" t="s">
        <v>11</v>
      </c>
      <c r="E312" s="1" t="s">
        <v>379</v>
      </c>
      <c r="G312" s="2">
        <v>27.31</v>
      </c>
      <c r="H312" s="3" t="s">
        <v>44</v>
      </c>
      <c r="I312" s="2">
        <f t="shared" si="6"/>
        <v>3927.7900000000027</v>
      </c>
      <c r="J312" s="6" t="s">
        <v>38</v>
      </c>
    </row>
    <row r="313" spans="1:13" x14ac:dyDescent="0.25">
      <c r="A313" s="14">
        <v>268</v>
      </c>
      <c r="B313" s="14"/>
      <c r="C313" s="1">
        <v>43231</v>
      </c>
      <c r="D313" s="14" t="s">
        <v>380</v>
      </c>
      <c r="E313" s="1" t="s">
        <v>105</v>
      </c>
      <c r="G313" s="2">
        <v>50</v>
      </c>
      <c r="H313" s="3" t="s">
        <v>245</v>
      </c>
      <c r="I313" s="2">
        <f t="shared" si="6"/>
        <v>3877.7900000000027</v>
      </c>
      <c r="J313" s="6" t="s">
        <v>34</v>
      </c>
    </row>
    <row r="314" spans="1:13" x14ac:dyDescent="0.25">
      <c r="A314" s="14">
        <v>269</v>
      </c>
      <c r="B314" s="14"/>
      <c r="C314" s="1">
        <v>43231</v>
      </c>
      <c r="D314" s="14" t="s">
        <v>381</v>
      </c>
      <c r="E314" s="1" t="s">
        <v>382</v>
      </c>
      <c r="G314" s="2">
        <v>32.54</v>
      </c>
      <c r="H314" s="3" t="s">
        <v>46</v>
      </c>
      <c r="I314" s="2">
        <f t="shared" si="6"/>
        <v>3845.2500000000027</v>
      </c>
      <c r="J314" s="6" t="s">
        <v>34</v>
      </c>
      <c r="K314" s="2"/>
      <c r="L314" s="16"/>
      <c r="M314" s="17"/>
    </row>
    <row r="315" spans="1:13" x14ac:dyDescent="0.25">
      <c r="A315" s="14">
        <v>270</v>
      </c>
      <c r="B315" s="14"/>
      <c r="C315" s="1">
        <v>43231</v>
      </c>
      <c r="D315" s="14" t="s">
        <v>383</v>
      </c>
      <c r="E315" s="1" t="s">
        <v>353</v>
      </c>
      <c r="G315" s="2">
        <v>18.86</v>
      </c>
      <c r="H315" s="3" t="s">
        <v>45</v>
      </c>
      <c r="I315" s="2">
        <f t="shared" si="6"/>
        <v>3826.3900000000026</v>
      </c>
      <c r="J315" s="6" t="s">
        <v>34</v>
      </c>
    </row>
    <row r="316" spans="1:13" x14ac:dyDescent="0.25">
      <c r="A316" s="14">
        <v>271</v>
      </c>
      <c r="B316" s="14"/>
      <c r="C316" s="1">
        <v>43232</v>
      </c>
      <c r="D316" s="14" t="s">
        <v>384</v>
      </c>
      <c r="E316" s="1" t="s">
        <v>385</v>
      </c>
      <c r="G316" s="2">
        <v>11.85</v>
      </c>
      <c r="H316" s="3" t="s">
        <v>46</v>
      </c>
      <c r="I316" s="2">
        <f t="shared" si="6"/>
        <v>3814.5400000000027</v>
      </c>
      <c r="J316" s="6" t="s">
        <v>34</v>
      </c>
    </row>
    <row r="317" spans="1:13" x14ac:dyDescent="0.25">
      <c r="A317" s="14">
        <v>272</v>
      </c>
      <c r="B317" s="14"/>
      <c r="C317" s="1">
        <v>43234</v>
      </c>
      <c r="D317" s="14" t="s">
        <v>386</v>
      </c>
      <c r="E317" s="1" t="s">
        <v>387</v>
      </c>
      <c r="G317" s="2">
        <v>16</v>
      </c>
      <c r="H317" s="3" t="s">
        <v>45</v>
      </c>
      <c r="I317" s="2">
        <f t="shared" si="6"/>
        <v>3798.5400000000027</v>
      </c>
      <c r="J317" s="6" t="s">
        <v>34</v>
      </c>
    </row>
    <row r="318" spans="1:13" x14ac:dyDescent="0.25">
      <c r="A318" s="14">
        <v>273</v>
      </c>
      <c r="B318" s="14"/>
      <c r="C318" s="1">
        <v>43235</v>
      </c>
      <c r="D318" s="14" t="s">
        <v>15</v>
      </c>
      <c r="E318" s="1" t="s">
        <v>75</v>
      </c>
      <c r="G318" s="2">
        <v>8.19</v>
      </c>
      <c r="H318" s="3" t="s">
        <v>45</v>
      </c>
      <c r="I318" s="2">
        <f t="shared" si="6"/>
        <v>3790.3500000000026</v>
      </c>
      <c r="J318" s="6" t="s">
        <v>34</v>
      </c>
    </row>
    <row r="319" spans="1:13" x14ac:dyDescent="0.25">
      <c r="A319" s="14">
        <v>274</v>
      </c>
      <c r="B319" s="14"/>
      <c r="C319" s="1">
        <v>43236</v>
      </c>
      <c r="D319" s="14" t="s">
        <v>390</v>
      </c>
      <c r="E319" s="1" t="s">
        <v>391</v>
      </c>
      <c r="G319" s="2">
        <v>17</v>
      </c>
      <c r="H319" s="3" t="s">
        <v>45</v>
      </c>
      <c r="I319" s="2">
        <f t="shared" si="6"/>
        <v>3773.3500000000026</v>
      </c>
      <c r="J319" s="6" t="s">
        <v>34</v>
      </c>
    </row>
    <row r="320" spans="1:13" x14ac:dyDescent="0.25">
      <c r="A320" s="14">
        <v>275</v>
      </c>
      <c r="B320" s="14"/>
      <c r="C320" s="1">
        <v>43236</v>
      </c>
      <c r="D320" s="14" t="s">
        <v>18</v>
      </c>
      <c r="E320" s="1" t="s">
        <v>392</v>
      </c>
      <c r="G320" s="2">
        <v>31.15</v>
      </c>
      <c r="H320" s="3" t="s">
        <v>251</v>
      </c>
      <c r="I320" s="2">
        <f t="shared" si="6"/>
        <v>3742.2000000000025</v>
      </c>
      <c r="J320" s="6" t="s">
        <v>34</v>
      </c>
    </row>
    <row r="321" spans="1:10" x14ac:dyDescent="0.25">
      <c r="A321" s="14">
        <v>276</v>
      </c>
      <c r="B321" s="14"/>
      <c r="C321" s="1">
        <v>43237</v>
      </c>
      <c r="D321" s="14" t="s">
        <v>187</v>
      </c>
      <c r="E321" s="1" t="s">
        <v>393</v>
      </c>
      <c r="G321" s="2">
        <v>7.44</v>
      </c>
      <c r="H321" s="3" t="s">
        <v>45</v>
      </c>
      <c r="I321" s="2">
        <f t="shared" si="6"/>
        <v>3734.7600000000025</v>
      </c>
      <c r="J321" s="6" t="s">
        <v>34</v>
      </c>
    </row>
    <row r="322" spans="1:10" x14ac:dyDescent="0.25">
      <c r="A322" s="14">
        <v>277</v>
      </c>
      <c r="B322" s="14"/>
      <c r="C322" s="1">
        <v>43241</v>
      </c>
      <c r="D322" s="14" t="s">
        <v>11</v>
      </c>
      <c r="E322" s="1" t="s">
        <v>394</v>
      </c>
      <c r="G322" s="2">
        <v>30</v>
      </c>
      <c r="H322" s="3" t="s">
        <v>46</v>
      </c>
      <c r="I322" s="2">
        <f t="shared" si="6"/>
        <v>3704.7600000000025</v>
      </c>
      <c r="J322" s="6" t="s">
        <v>395</v>
      </c>
    </row>
    <row r="323" spans="1:10" x14ac:dyDescent="0.25">
      <c r="A323" s="14">
        <v>278</v>
      </c>
      <c r="B323" s="14"/>
      <c r="C323" s="1">
        <v>43241</v>
      </c>
      <c r="D323" s="14" t="s">
        <v>11</v>
      </c>
      <c r="E323" s="1" t="s">
        <v>396</v>
      </c>
      <c r="G323" s="2">
        <v>970</v>
      </c>
      <c r="H323" s="3" t="s">
        <v>46</v>
      </c>
      <c r="I323" s="2">
        <f t="shared" si="6"/>
        <v>2734.7600000000025</v>
      </c>
      <c r="J323" s="6" t="s">
        <v>397</v>
      </c>
    </row>
    <row r="324" spans="1:10" x14ac:dyDescent="0.25">
      <c r="A324" s="14"/>
      <c r="B324" s="14">
        <v>44</v>
      </c>
      <c r="C324" s="1">
        <v>43242</v>
      </c>
      <c r="D324" s="14" t="s">
        <v>141</v>
      </c>
      <c r="E324" s="1" t="s">
        <v>244</v>
      </c>
      <c r="F324" s="2">
        <v>514.12</v>
      </c>
      <c r="I324" s="2">
        <f t="shared" si="6"/>
        <v>3248.8800000000024</v>
      </c>
    </row>
    <row r="325" spans="1:10" x14ac:dyDescent="0.25">
      <c r="A325" s="14">
        <v>279</v>
      </c>
      <c r="B325" s="14"/>
      <c r="C325" s="1">
        <v>43242</v>
      </c>
      <c r="D325" s="14" t="s">
        <v>370</v>
      </c>
      <c r="E325" s="1" t="s">
        <v>157</v>
      </c>
      <c r="G325" s="2">
        <v>6</v>
      </c>
      <c r="H325" s="3" t="s">
        <v>45</v>
      </c>
      <c r="I325" s="2">
        <f t="shared" si="6"/>
        <v>3242.8800000000024</v>
      </c>
      <c r="J325" s="6" t="s">
        <v>34</v>
      </c>
    </row>
    <row r="326" spans="1:10" x14ac:dyDescent="0.25">
      <c r="A326" s="14">
        <v>280</v>
      </c>
      <c r="B326" s="14"/>
      <c r="C326" s="1">
        <v>43242</v>
      </c>
      <c r="D326" s="14" t="s">
        <v>370</v>
      </c>
      <c r="E326" s="1" t="s">
        <v>157</v>
      </c>
      <c r="G326" s="2">
        <v>6</v>
      </c>
      <c r="H326" s="3" t="s">
        <v>45</v>
      </c>
      <c r="I326" s="2">
        <f t="shared" si="6"/>
        <v>3236.8800000000024</v>
      </c>
      <c r="J326" s="6" t="s">
        <v>34</v>
      </c>
    </row>
    <row r="327" spans="1:10" x14ac:dyDescent="0.25">
      <c r="A327" s="14">
        <v>281</v>
      </c>
      <c r="B327" s="14"/>
      <c r="C327" s="1">
        <v>43243</v>
      </c>
      <c r="D327" s="14" t="s">
        <v>117</v>
      </c>
      <c r="E327" s="1" t="s">
        <v>116</v>
      </c>
      <c r="G327" s="2">
        <v>12</v>
      </c>
      <c r="H327" s="3" t="s">
        <v>45</v>
      </c>
      <c r="I327" s="2">
        <f t="shared" si="6"/>
        <v>3224.8800000000024</v>
      </c>
    </row>
    <row r="328" spans="1:10" x14ac:dyDescent="0.25">
      <c r="A328" s="14">
        <v>282</v>
      </c>
      <c r="B328" s="14"/>
      <c r="C328" s="1">
        <v>43245</v>
      </c>
      <c r="D328" s="14" t="s">
        <v>11</v>
      </c>
      <c r="E328" s="1" t="s">
        <v>375</v>
      </c>
      <c r="G328" s="2">
        <v>4.7300000000000004</v>
      </c>
      <c r="H328" s="3" t="s">
        <v>44</v>
      </c>
      <c r="I328" s="2">
        <f t="shared" si="6"/>
        <v>3220.1500000000024</v>
      </c>
      <c r="J328" s="6" t="s">
        <v>376</v>
      </c>
    </row>
    <row r="329" spans="1:10" x14ac:dyDescent="0.25">
      <c r="A329" s="14">
        <v>283</v>
      </c>
      <c r="B329" s="14"/>
      <c r="C329" s="1">
        <v>43245</v>
      </c>
      <c r="D329" s="14" t="s">
        <v>63</v>
      </c>
      <c r="E329" s="1" t="s">
        <v>17</v>
      </c>
      <c r="G329" s="2">
        <v>29.02</v>
      </c>
      <c r="H329" s="3" t="s">
        <v>17</v>
      </c>
      <c r="I329" s="2">
        <f t="shared" ref="I329:I406" si="7">(I328+F329-G329)</f>
        <v>3191.1300000000024</v>
      </c>
      <c r="J329" s="6" t="s">
        <v>34</v>
      </c>
    </row>
    <row r="330" spans="1:10" x14ac:dyDescent="0.25">
      <c r="A330" s="14">
        <v>284</v>
      </c>
      <c r="B330" s="14"/>
      <c r="C330" s="1">
        <v>43245</v>
      </c>
      <c r="D330" s="14" t="s">
        <v>63</v>
      </c>
      <c r="E330" s="1" t="s">
        <v>398</v>
      </c>
      <c r="G330" s="2">
        <v>20</v>
      </c>
      <c r="H330" s="3" t="s">
        <v>46</v>
      </c>
      <c r="I330" s="2">
        <f t="shared" si="7"/>
        <v>3171.1300000000024</v>
      </c>
    </row>
    <row r="331" spans="1:10" x14ac:dyDescent="0.25">
      <c r="A331" s="14">
        <v>285</v>
      </c>
      <c r="B331" s="14"/>
      <c r="C331" s="1">
        <v>43245</v>
      </c>
      <c r="D331" s="14" t="s">
        <v>346</v>
      </c>
      <c r="E331" s="1" t="s">
        <v>399</v>
      </c>
      <c r="G331" s="2">
        <v>6.07</v>
      </c>
      <c r="H331" s="3" t="s">
        <v>45</v>
      </c>
      <c r="I331" s="2">
        <f t="shared" si="7"/>
        <v>3165.0600000000022</v>
      </c>
    </row>
    <row r="332" spans="1:10" x14ac:dyDescent="0.25">
      <c r="A332" s="14">
        <v>286</v>
      </c>
      <c r="B332" s="14"/>
      <c r="C332" s="1">
        <v>43246</v>
      </c>
      <c r="D332" s="14" t="s">
        <v>35</v>
      </c>
      <c r="E332" s="1" t="s">
        <v>400</v>
      </c>
      <c r="G332" s="2">
        <v>10.72</v>
      </c>
      <c r="H332" s="3" t="s">
        <v>45</v>
      </c>
      <c r="I332" s="2">
        <f t="shared" si="7"/>
        <v>3154.3400000000024</v>
      </c>
    </row>
    <row r="333" spans="1:10" x14ac:dyDescent="0.25">
      <c r="A333" s="14">
        <v>287</v>
      </c>
      <c r="B333" s="14"/>
      <c r="C333" s="1">
        <v>43247</v>
      </c>
      <c r="D333" s="14" t="s">
        <v>15</v>
      </c>
      <c r="E333" s="1" t="s">
        <v>401</v>
      </c>
      <c r="G333" s="2">
        <v>16.100000000000001</v>
      </c>
      <c r="H333" s="3" t="s">
        <v>45</v>
      </c>
      <c r="I333" s="2">
        <f t="shared" si="7"/>
        <v>3138.2400000000025</v>
      </c>
    </row>
    <row r="334" spans="1:10" x14ac:dyDescent="0.25">
      <c r="A334" s="14">
        <v>288</v>
      </c>
      <c r="B334" s="14"/>
      <c r="C334" s="1">
        <v>43247</v>
      </c>
      <c r="D334" s="14" t="s">
        <v>194</v>
      </c>
      <c r="E334" s="1" t="s">
        <v>195</v>
      </c>
      <c r="G334" s="2">
        <v>2.35</v>
      </c>
      <c r="H334" s="3" t="s">
        <v>45</v>
      </c>
      <c r="I334" s="2">
        <f t="shared" si="7"/>
        <v>3135.8900000000026</v>
      </c>
    </row>
    <row r="335" spans="1:10" x14ac:dyDescent="0.25">
      <c r="A335" s="14">
        <v>289</v>
      </c>
      <c r="B335" s="14"/>
      <c r="C335" s="1">
        <v>43248</v>
      </c>
      <c r="D335" s="14" t="s">
        <v>15</v>
      </c>
      <c r="E335" s="1" t="s">
        <v>97</v>
      </c>
      <c r="G335" s="2">
        <v>2.21</v>
      </c>
      <c r="H335" s="3" t="s">
        <v>45</v>
      </c>
      <c r="I335" s="2">
        <f t="shared" si="7"/>
        <v>3133.6800000000026</v>
      </c>
    </row>
    <row r="336" spans="1:10" x14ac:dyDescent="0.25">
      <c r="A336" s="14">
        <v>290</v>
      </c>
      <c r="B336" s="14"/>
      <c r="C336" s="1">
        <v>43248</v>
      </c>
      <c r="D336" s="14" t="s">
        <v>402</v>
      </c>
      <c r="E336" s="1" t="s">
        <v>345</v>
      </c>
      <c r="G336" s="2">
        <v>11.35</v>
      </c>
      <c r="H336" s="3" t="s">
        <v>46</v>
      </c>
      <c r="I336" s="2">
        <f t="shared" si="7"/>
        <v>3122.3300000000027</v>
      </c>
      <c r="J336" s="6" t="s">
        <v>34</v>
      </c>
    </row>
    <row r="337" spans="1:13" x14ac:dyDescent="0.25">
      <c r="A337" s="14">
        <v>291</v>
      </c>
      <c r="B337" s="14"/>
      <c r="C337" s="1">
        <v>43249</v>
      </c>
      <c r="D337" s="14" t="s">
        <v>403</v>
      </c>
      <c r="E337" s="1" t="s">
        <v>404</v>
      </c>
      <c r="G337" s="2">
        <v>20</v>
      </c>
      <c r="H337" s="3" t="s">
        <v>45</v>
      </c>
      <c r="I337" s="2">
        <f t="shared" si="7"/>
        <v>3102.3300000000027</v>
      </c>
      <c r="L337" s="19" t="s">
        <v>389</v>
      </c>
    </row>
    <row r="338" spans="1:13" x14ac:dyDescent="0.25">
      <c r="A338" s="14">
        <v>292</v>
      </c>
      <c r="B338" s="14"/>
      <c r="C338" s="1">
        <v>43249</v>
      </c>
      <c r="D338" s="14" t="s">
        <v>20</v>
      </c>
      <c r="E338" s="1" t="s">
        <v>405</v>
      </c>
      <c r="G338" s="2">
        <v>9.9</v>
      </c>
      <c r="H338" s="3" t="s">
        <v>45</v>
      </c>
      <c r="I338" s="2">
        <f t="shared" si="7"/>
        <v>3092.4300000000026</v>
      </c>
      <c r="L338" s="2">
        <f>SUM(G295:G341)-G295</f>
        <v>1637.9299999999994</v>
      </c>
      <c r="M338" s="5"/>
    </row>
    <row r="339" spans="1:13" x14ac:dyDescent="0.25">
      <c r="A339" s="14">
        <v>293</v>
      </c>
      <c r="B339" s="14"/>
      <c r="C339" s="1">
        <v>43250</v>
      </c>
      <c r="D339" s="14" t="s">
        <v>15</v>
      </c>
      <c r="E339" s="1" t="s">
        <v>406</v>
      </c>
      <c r="G339" s="2">
        <v>3.68</v>
      </c>
      <c r="H339" s="3" t="s">
        <v>45</v>
      </c>
      <c r="I339" s="2">
        <f t="shared" si="7"/>
        <v>3088.7500000000027</v>
      </c>
      <c r="L339" s="16">
        <f>L338/L12</f>
        <v>0.13121736950003085</v>
      </c>
      <c r="M339" s="17"/>
    </row>
    <row r="340" spans="1:13" x14ac:dyDescent="0.25">
      <c r="A340" s="14">
        <v>294</v>
      </c>
      <c r="B340" s="14"/>
      <c r="C340" s="1">
        <v>43251</v>
      </c>
      <c r="D340" s="14" t="s">
        <v>78</v>
      </c>
      <c r="E340" s="1" t="s">
        <v>407</v>
      </c>
      <c r="G340" s="2">
        <v>10.6</v>
      </c>
      <c r="H340" s="3" t="s">
        <v>45</v>
      </c>
      <c r="I340" s="2">
        <f t="shared" si="7"/>
        <v>3078.1500000000028</v>
      </c>
      <c r="K340" s="2"/>
      <c r="L340" s="16"/>
      <c r="M340" s="17"/>
    </row>
    <row r="341" spans="1:13" x14ac:dyDescent="0.25">
      <c r="A341" s="14">
        <v>295</v>
      </c>
      <c r="B341" s="14"/>
      <c r="C341" s="1">
        <v>43251</v>
      </c>
      <c r="D341" s="14" t="s">
        <v>78</v>
      </c>
      <c r="E341" s="1" t="s">
        <v>408</v>
      </c>
      <c r="G341" s="2">
        <v>3.83</v>
      </c>
      <c r="H341" s="3" t="s">
        <v>45</v>
      </c>
      <c r="I341" s="2">
        <f t="shared" si="7"/>
        <v>3074.3200000000029</v>
      </c>
      <c r="K341" s="2"/>
      <c r="L341" s="16"/>
      <c r="M341" s="17"/>
    </row>
    <row r="342" spans="1:13" x14ac:dyDescent="0.25">
      <c r="A342" s="14">
        <v>296</v>
      </c>
      <c r="B342" s="14"/>
      <c r="C342" s="1">
        <v>43252</v>
      </c>
      <c r="D342" s="14" t="s">
        <v>11</v>
      </c>
      <c r="E342" s="1" t="s">
        <v>76</v>
      </c>
      <c r="G342" s="2">
        <v>560</v>
      </c>
      <c r="H342" s="3" t="s">
        <v>76</v>
      </c>
      <c r="I342" s="2">
        <f t="shared" si="7"/>
        <v>2514.3200000000029</v>
      </c>
      <c r="K342" s="2"/>
      <c r="L342" s="16"/>
      <c r="M342" s="17"/>
    </row>
    <row r="343" spans="1:13" x14ac:dyDescent="0.25">
      <c r="A343" s="14"/>
      <c r="B343" s="14">
        <v>45</v>
      </c>
      <c r="C343" s="1">
        <v>43252</v>
      </c>
      <c r="D343" s="14" t="s">
        <v>11</v>
      </c>
      <c r="E343" s="1" t="s">
        <v>140</v>
      </c>
      <c r="F343" s="2">
        <v>0.01</v>
      </c>
      <c r="I343" s="2">
        <f t="shared" si="7"/>
        <v>2514.3300000000031</v>
      </c>
      <c r="K343" s="2"/>
      <c r="L343" s="16"/>
      <c r="M343" s="17"/>
    </row>
    <row r="344" spans="1:13" x14ac:dyDescent="0.25">
      <c r="A344" s="14">
        <v>297</v>
      </c>
      <c r="B344" s="14"/>
      <c r="C344" s="1">
        <v>43252</v>
      </c>
      <c r="D344" s="14" t="s">
        <v>15</v>
      </c>
      <c r="E344" s="1" t="s">
        <v>409</v>
      </c>
      <c r="G344" s="2">
        <v>5.93</v>
      </c>
      <c r="H344" s="3" t="s">
        <v>45</v>
      </c>
      <c r="I344" s="2">
        <f t="shared" si="7"/>
        <v>2508.4000000000033</v>
      </c>
      <c r="K344" s="2"/>
      <c r="L344" s="16"/>
      <c r="M344" s="17"/>
    </row>
    <row r="345" spans="1:13" x14ac:dyDescent="0.25">
      <c r="A345" s="14">
        <v>298</v>
      </c>
      <c r="B345" s="14"/>
      <c r="C345" s="1">
        <v>43252</v>
      </c>
      <c r="D345" s="14" t="s">
        <v>384</v>
      </c>
      <c r="E345" s="1" t="s">
        <v>410</v>
      </c>
      <c r="G345" s="2">
        <v>6.77</v>
      </c>
      <c r="H345" s="3" t="s">
        <v>46</v>
      </c>
      <c r="I345" s="2">
        <f t="shared" si="7"/>
        <v>2501.6300000000033</v>
      </c>
      <c r="K345" s="2"/>
      <c r="L345" s="16"/>
      <c r="M345" s="17"/>
    </row>
    <row r="346" spans="1:13" x14ac:dyDescent="0.25">
      <c r="A346" s="14">
        <v>299</v>
      </c>
      <c r="B346" s="14"/>
      <c r="C346" s="1">
        <v>43252</v>
      </c>
      <c r="D346" s="14" t="s">
        <v>411</v>
      </c>
      <c r="E346" s="1" t="s">
        <v>412</v>
      </c>
      <c r="G346" s="2">
        <v>7.33</v>
      </c>
      <c r="H346" s="3" t="s">
        <v>45</v>
      </c>
      <c r="I346" s="2">
        <f t="shared" si="7"/>
        <v>2494.3000000000034</v>
      </c>
      <c r="K346" s="2"/>
      <c r="L346" s="16"/>
      <c r="M346" s="17"/>
    </row>
    <row r="347" spans="1:13" x14ac:dyDescent="0.25">
      <c r="A347" s="14">
        <v>300</v>
      </c>
      <c r="B347" s="14"/>
      <c r="C347" s="1">
        <v>43252</v>
      </c>
      <c r="D347" s="14" t="s">
        <v>413</v>
      </c>
      <c r="E347" s="1" t="s">
        <v>414</v>
      </c>
      <c r="G347" s="2">
        <v>38.42</v>
      </c>
      <c r="H347" s="3" t="s">
        <v>252</v>
      </c>
      <c r="I347" s="2">
        <f t="shared" si="7"/>
        <v>2455.8800000000033</v>
      </c>
      <c r="K347" s="2"/>
      <c r="L347" s="16"/>
      <c r="M347" s="17"/>
    </row>
    <row r="348" spans="1:13" x14ac:dyDescent="0.25">
      <c r="A348" s="14">
        <v>301</v>
      </c>
      <c r="B348" s="14"/>
      <c r="C348" s="1">
        <v>43252</v>
      </c>
      <c r="D348" s="14" t="s">
        <v>415</v>
      </c>
      <c r="E348" s="1" t="s">
        <v>414</v>
      </c>
      <c r="G348" s="2">
        <v>13.56</v>
      </c>
      <c r="H348" s="3" t="s">
        <v>252</v>
      </c>
      <c r="I348" s="2">
        <f t="shared" si="7"/>
        <v>2442.3200000000033</v>
      </c>
      <c r="K348" s="2"/>
      <c r="L348" s="16"/>
      <c r="M348" s="17"/>
    </row>
    <row r="349" spans="1:13" x14ac:dyDescent="0.25">
      <c r="A349" s="14">
        <v>302</v>
      </c>
      <c r="B349" s="14"/>
      <c r="C349" s="1">
        <v>43252</v>
      </c>
      <c r="D349" s="14" t="s">
        <v>416</v>
      </c>
      <c r="E349" s="1" t="s">
        <v>414</v>
      </c>
      <c r="G349" s="2">
        <v>10.17</v>
      </c>
      <c r="H349" s="3" t="s">
        <v>252</v>
      </c>
      <c r="I349" s="2">
        <f t="shared" si="7"/>
        <v>2432.1500000000033</v>
      </c>
      <c r="K349" s="2"/>
      <c r="L349" s="16"/>
      <c r="M349" s="17"/>
    </row>
    <row r="350" spans="1:13" x14ac:dyDescent="0.25">
      <c r="A350" s="14">
        <v>303</v>
      </c>
      <c r="B350" s="14"/>
      <c r="C350" s="1">
        <v>43252</v>
      </c>
      <c r="D350" s="14" t="s">
        <v>418</v>
      </c>
      <c r="E350" s="1" t="s">
        <v>417</v>
      </c>
      <c r="G350" s="2">
        <v>2.34</v>
      </c>
      <c r="H350" s="3" t="s">
        <v>252</v>
      </c>
      <c r="I350" s="2">
        <f t="shared" si="7"/>
        <v>2429.8100000000031</v>
      </c>
      <c r="K350" s="2"/>
      <c r="L350" s="16"/>
      <c r="M350" s="17"/>
    </row>
    <row r="351" spans="1:13" x14ac:dyDescent="0.25">
      <c r="A351" s="14">
        <v>304</v>
      </c>
      <c r="B351" s="14"/>
      <c r="C351" s="1">
        <v>43252</v>
      </c>
      <c r="D351" s="14" t="s">
        <v>419</v>
      </c>
      <c r="E351" s="1" t="s">
        <v>420</v>
      </c>
      <c r="G351" s="2">
        <v>39.93</v>
      </c>
      <c r="H351" s="3" t="s">
        <v>45</v>
      </c>
      <c r="I351" s="2">
        <f t="shared" si="7"/>
        <v>2389.8800000000033</v>
      </c>
      <c r="K351" s="2"/>
      <c r="L351" s="21"/>
      <c r="M351" s="17"/>
    </row>
    <row r="352" spans="1:13" x14ac:dyDescent="0.25">
      <c r="A352" s="14">
        <v>305</v>
      </c>
      <c r="B352" s="14"/>
      <c r="C352" s="1">
        <v>43252</v>
      </c>
      <c r="D352" s="14" t="s">
        <v>421</v>
      </c>
      <c r="E352" s="1" t="s">
        <v>422</v>
      </c>
      <c r="G352" s="2">
        <v>8</v>
      </c>
      <c r="H352" s="3" t="s">
        <v>251</v>
      </c>
      <c r="I352" s="2">
        <f t="shared" si="7"/>
        <v>2381.8800000000033</v>
      </c>
      <c r="K352" s="2"/>
    </row>
    <row r="353" spans="1:13" x14ac:dyDescent="0.25">
      <c r="A353" s="14">
        <v>306</v>
      </c>
      <c r="B353" s="14"/>
      <c r="C353" s="1">
        <v>43252</v>
      </c>
      <c r="D353" s="14" t="s">
        <v>192</v>
      </c>
      <c r="E353" s="1" t="s">
        <v>423</v>
      </c>
      <c r="G353" s="2">
        <v>26</v>
      </c>
      <c r="H353" s="3" t="s">
        <v>245</v>
      </c>
      <c r="I353" s="2">
        <f t="shared" si="7"/>
        <v>2355.8800000000033</v>
      </c>
      <c r="K353" s="2"/>
      <c r="M353" s="5"/>
    </row>
    <row r="354" spans="1:13" x14ac:dyDescent="0.25">
      <c r="A354" s="14">
        <v>307</v>
      </c>
      <c r="B354" s="14"/>
      <c r="C354" s="1">
        <v>43253</v>
      </c>
      <c r="D354" s="14" t="s">
        <v>346</v>
      </c>
      <c r="E354" s="1" t="s">
        <v>424</v>
      </c>
      <c r="G354" s="2">
        <v>12.88</v>
      </c>
      <c r="H354" s="3" t="s">
        <v>45</v>
      </c>
      <c r="I354" s="2">
        <f t="shared" si="7"/>
        <v>2343.0000000000032</v>
      </c>
    </row>
    <row r="355" spans="1:13" x14ac:dyDescent="0.25">
      <c r="A355" s="14">
        <v>308</v>
      </c>
      <c r="B355" s="14"/>
      <c r="C355" s="1">
        <v>43255</v>
      </c>
      <c r="D355" s="14" t="s">
        <v>426</v>
      </c>
      <c r="E355" s="1" t="s">
        <v>427</v>
      </c>
      <c r="G355" s="2">
        <v>1.77</v>
      </c>
      <c r="H355" s="3" t="s">
        <v>45</v>
      </c>
      <c r="I355" s="2">
        <f t="shared" si="7"/>
        <v>2341.2300000000032</v>
      </c>
      <c r="J355" s="6" t="s">
        <v>34</v>
      </c>
    </row>
    <row r="356" spans="1:13" x14ac:dyDescent="0.25">
      <c r="A356" s="14">
        <v>309</v>
      </c>
      <c r="B356" s="14"/>
      <c r="C356" s="1">
        <v>43255</v>
      </c>
      <c r="D356" s="14" t="s">
        <v>117</v>
      </c>
      <c r="E356" s="1" t="s">
        <v>428</v>
      </c>
      <c r="G356" s="2">
        <v>9</v>
      </c>
      <c r="H356" s="3" t="s">
        <v>45</v>
      </c>
      <c r="I356" s="2">
        <f t="shared" si="7"/>
        <v>2332.2300000000032</v>
      </c>
    </row>
    <row r="357" spans="1:13" x14ac:dyDescent="0.25">
      <c r="A357" s="14">
        <v>310</v>
      </c>
      <c r="B357" s="14"/>
      <c r="C357" s="1">
        <v>43256</v>
      </c>
      <c r="D357" s="14" t="s">
        <v>35</v>
      </c>
      <c r="E357" s="1" t="s">
        <v>429</v>
      </c>
      <c r="G357" s="2">
        <v>4.96</v>
      </c>
      <c r="H357" s="3" t="s">
        <v>46</v>
      </c>
      <c r="I357" s="2">
        <f t="shared" si="7"/>
        <v>2327.2700000000032</v>
      </c>
    </row>
    <row r="358" spans="1:13" x14ac:dyDescent="0.25">
      <c r="A358" s="14">
        <v>311</v>
      </c>
      <c r="B358" s="14"/>
      <c r="C358" s="1">
        <v>43256</v>
      </c>
      <c r="D358" s="14" t="s">
        <v>96</v>
      </c>
      <c r="E358" s="1" t="s">
        <v>430</v>
      </c>
      <c r="G358" s="2">
        <v>12</v>
      </c>
      <c r="H358" s="3" t="s">
        <v>45</v>
      </c>
      <c r="I358" s="2">
        <f t="shared" si="7"/>
        <v>2315.2700000000032</v>
      </c>
    </row>
    <row r="359" spans="1:13" x14ac:dyDescent="0.25">
      <c r="A359" s="14">
        <v>312</v>
      </c>
      <c r="B359" s="14"/>
      <c r="C359" s="1">
        <v>43256</v>
      </c>
      <c r="D359" s="14" t="s">
        <v>431</v>
      </c>
      <c r="E359" s="1" t="s">
        <v>432</v>
      </c>
      <c r="G359" s="2">
        <v>14.69</v>
      </c>
      <c r="H359" s="3" t="s">
        <v>45</v>
      </c>
      <c r="I359" s="2">
        <f t="shared" si="7"/>
        <v>2300.5800000000031</v>
      </c>
    </row>
    <row r="360" spans="1:13" x14ac:dyDescent="0.25">
      <c r="A360" s="14"/>
      <c r="B360" s="14">
        <v>46</v>
      </c>
      <c r="C360" s="1">
        <v>43257</v>
      </c>
      <c r="D360" s="14" t="s">
        <v>11</v>
      </c>
      <c r="E360" s="1" t="s">
        <v>291</v>
      </c>
      <c r="F360" s="2">
        <v>70.75</v>
      </c>
      <c r="I360" s="2">
        <f t="shared" si="7"/>
        <v>2371.3300000000031</v>
      </c>
      <c r="J360" s="6" t="s">
        <v>433</v>
      </c>
    </row>
    <row r="361" spans="1:13" x14ac:dyDescent="0.25">
      <c r="A361" s="14">
        <v>313</v>
      </c>
      <c r="B361" s="14"/>
      <c r="C361" s="1">
        <v>43257</v>
      </c>
      <c r="D361" s="14" t="s">
        <v>434</v>
      </c>
      <c r="E361" s="1" t="s">
        <v>435</v>
      </c>
      <c r="G361" s="2">
        <v>57.5</v>
      </c>
      <c r="H361" s="3" t="s">
        <v>46</v>
      </c>
      <c r="I361" s="2">
        <f t="shared" si="7"/>
        <v>2313.8300000000031</v>
      </c>
    </row>
    <row r="362" spans="1:13" x14ac:dyDescent="0.25">
      <c r="A362" s="14">
        <v>314</v>
      </c>
      <c r="B362" s="14"/>
      <c r="C362" s="1">
        <v>43257</v>
      </c>
      <c r="D362" s="14" t="s">
        <v>41</v>
      </c>
      <c r="E362" s="1" t="s">
        <v>42</v>
      </c>
      <c r="G362" s="2">
        <v>11.28</v>
      </c>
      <c r="H362" s="3" t="s">
        <v>45</v>
      </c>
      <c r="I362" s="2">
        <f t="shared" si="7"/>
        <v>2302.5500000000029</v>
      </c>
    </row>
    <row r="363" spans="1:13" x14ac:dyDescent="0.25">
      <c r="A363" s="14">
        <v>315</v>
      </c>
      <c r="B363" s="14"/>
      <c r="C363" s="1">
        <v>43257</v>
      </c>
      <c r="D363" s="14" t="s">
        <v>11</v>
      </c>
      <c r="E363" s="1" t="s">
        <v>375</v>
      </c>
      <c r="G363" s="2">
        <v>4.58</v>
      </c>
      <c r="H363" s="3" t="s">
        <v>44</v>
      </c>
      <c r="I363" s="2">
        <f t="shared" si="7"/>
        <v>2297.970000000003</v>
      </c>
      <c r="J363" s="6" t="s">
        <v>376</v>
      </c>
    </row>
    <row r="364" spans="1:13" x14ac:dyDescent="0.25">
      <c r="A364" s="14"/>
      <c r="B364" s="14">
        <v>47</v>
      </c>
      <c r="C364" s="1">
        <v>43258</v>
      </c>
      <c r="D364" s="14" t="s">
        <v>11</v>
      </c>
      <c r="E364" s="1" t="s">
        <v>291</v>
      </c>
      <c r="F364" s="2">
        <v>70.75</v>
      </c>
      <c r="I364" s="2">
        <f t="shared" si="7"/>
        <v>2368.720000000003</v>
      </c>
      <c r="J364" s="6" t="s">
        <v>442</v>
      </c>
    </row>
    <row r="365" spans="1:13" x14ac:dyDescent="0.25">
      <c r="A365" s="14">
        <v>316</v>
      </c>
      <c r="B365" s="14"/>
      <c r="C365" s="1">
        <v>43258</v>
      </c>
      <c r="D365" s="14" t="s">
        <v>15</v>
      </c>
      <c r="E365" s="1" t="s">
        <v>97</v>
      </c>
      <c r="G365" s="2">
        <v>2.21</v>
      </c>
      <c r="H365" s="3" t="s">
        <v>45</v>
      </c>
      <c r="I365" s="2">
        <f t="shared" si="7"/>
        <v>2366.5100000000029</v>
      </c>
    </row>
    <row r="366" spans="1:13" x14ac:dyDescent="0.25">
      <c r="A366" s="14">
        <v>317</v>
      </c>
      <c r="B366" s="14"/>
      <c r="C366" s="1">
        <v>43258</v>
      </c>
      <c r="D366" s="14" t="s">
        <v>96</v>
      </c>
      <c r="E366" s="1" t="s">
        <v>436</v>
      </c>
      <c r="G366" s="2">
        <v>3.15</v>
      </c>
      <c r="H366" s="3" t="s">
        <v>45</v>
      </c>
      <c r="I366" s="2">
        <f t="shared" si="7"/>
        <v>2363.3600000000029</v>
      </c>
    </row>
    <row r="367" spans="1:13" x14ac:dyDescent="0.25">
      <c r="A367" s="14">
        <v>318</v>
      </c>
      <c r="B367" s="14"/>
      <c r="C367" s="1">
        <v>43258</v>
      </c>
      <c r="D367" s="14" t="s">
        <v>438</v>
      </c>
      <c r="E367" s="1" t="s">
        <v>439</v>
      </c>
      <c r="G367" s="2">
        <v>24</v>
      </c>
      <c r="H367" s="3" t="s">
        <v>45</v>
      </c>
      <c r="I367" s="2">
        <f t="shared" si="7"/>
        <v>2339.3600000000029</v>
      </c>
    </row>
    <row r="368" spans="1:13" x14ac:dyDescent="0.25">
      <c r="A368" s="14">
        <v>319</v>
      </c>
      <c r="B368" s="14"/>
      <c r="C368" s="1">
        <v>43258</v>
      </c>
      <c r="D368" s="14" t="s">
        <v>403</v>
      </c>
      <c r="E368" s="1" t="s">
        <v>437</v>
      </c>
      <c r="G368" s="2">
        <v>27.29</v>
      </c>
      <c r="H368" s="3" t="s">
        <v>45</v>
      </c>
      <c r="I368" s="2">
        <f t="shared" si="7"/>
        <v>2312.0700000000029</v>
      </c>
    </row>
    <row r="369" spans="1:13" x14ac:dyDescent="0.25">
      <c r="A369" s="14">
        <v>320</v>
      </c>
      <c r="B369" s="14"/>
      <c r="C369" s="1">
        <v>43259</v>
      </c>
      <c r="D369" s="14" t="s">
        <v>96</v>
      </c>
      <c r="E369" s="1" t="s">
        <v>157</v>
      </c>
      <c r="G369" s="2">
        <v>6</v>
      </c>
      <c r="H369" s="3" t="s">
        <v>45</v>
      </c>
      <c r="I369" s="2">
        <f t="shared" si="7"/>
        <v>2306.0700000000029</v>
      </c>
    </row>
    <row r="370" spans="1:13" x14ac:dyDescent="0.25">
      <c r="A370" s="14">
        <v>321</v>
      </c>
      <c r="B370" s="14"/>
      <c r="C370" s="1">
        <v>43259</v>
      </c>
      <c r="D370" s="14" t="s">
        <v>61</v>
      </c>
      <c r="E370" s="1" t="s">
        <v>105</v>
      </c>
      <c r="G370" s="2">
        <v>20</v>
      </c>
      <c r="H370" s="3" t="s">
        <v>245</v>
      </c>
      <c r="I370" s="2">
        <f t="shared" si="7"/>
        <v>2286.0700000000029</v>
      </c>
    </row>
    <row r="371" spans="1:13" x14ac:dyDescent="0.25">
      <c r="A371" s="14">
        <v>322</v>
      </c>
      <c r="B371" s="14"/>
      <c r="C371" s="1">
        <v>43260</v>
      </c>
      <c r="D371" s="14" t="s">
        <v>35</v>
      </c>
      <c r="E371" s="1" t="s">
        <v>400</v>
      </c>
      <c r="G371" s="2">
        <v>10.72</v>
      </c>
      <c r="H371" s="3" t="s">
        <v>45</v>
      </c>
      <c r="I371" s="2">
        <f t="shared" si="7"/>
        <v>2275.3500000000031</v>
      </c>
    </row>
    <row r="372" spans="1:13" x14ac:dyDescent="0.25">
      <c r="A372" s="14">
        <v>323</v>
      </c>
      <c r="B372" s="14"/>
      <c r="C372" s="1">
        <v>43260</v>
      </c>
      <c r="D372" s="14" t="s">
        <v>441</v>
      </c>
      <c r="E372" s="1" t="s">
        <v>440</v>
      </c>
      <c r="G372" s="2">
        <v>6.83</v>
      </c>
      <c r="H372" s="3" t="s">
        <v>45</v>
      </c>
      <c r="I372" s="2">
        <f t="shared" si="7"/>
        <v>2268.5200000000032</v>
      </c>
    </row>
    <row r="373" spans="1:13" x14ac:dyDescent="0.25">
      <c r="A373" s="14">
        <v>324</v>
      </c>
      <c r="B373" s="14"/>
      <c r="C373" s="1">
        <v>43261</v>
      </c>
      <c r="D373" s="14" t="s">
        <v>443</v>
      </c>
      <c r="E373" s="1" t="s">
        <v>444</v>
      </c>
      <c r="G373" s="2">
        <v>11.84</v>
      </c>
      <c r="H373" s="3" t="s">
        <v>45</v>
      </c>
      <c r="I373" s="2">
        <f t="shared" si="7"/>
        <v>2256.680000000003</v>
      </c>
    </row>
    <row r="374" spans="1:13" x14ac:dyDescent="0.25">
      <c r="A374" s="14">
        <v>325</v>
      </c>
      <c r="B374" s="14"/>
      <c r="C374" s="1">
        <v>43261</v>
      </c>
      <c r="D374" s="14" t="s">
        <v>63</v>
      </c>
      <c r="E374" s="1" t="s">
        <v>17</v>
      </c>
      <c r="G374" s="2">
        <v>40.44</v>
      </c>
      <c r="H374" s="3" t="s">
        <v>17</v>
      </c>
      <c r="I374" s="2">
        <f t="shared" si="7"/>
        <v>2216.240000000003</v>
      </c>
    </row>
    <row r="375" spans="1:13" x14ac:dyDescent="0.25">
      <c r="A375" s="14">
        <v>326</v>
      </c>
      <c r="B375" s="14"/>
      <c r="C375" s="1">
        <v>43262</v>
      </c>
      <c r="D375" s="14" t="s">
        <v>96</v>
      </c>
      <c r="E375" s="1" t="s">
        <v>447</v>
      </c>
      <c r="G375" s="2">
        <v>9.2200000000000006</v>
      </c>
      <c r="H375" s="3" t="s">
        <v>45</v>
      </c>
      <c r="I375" s="2">
        <f t="shared" si="7"/>
        <v>2207.0200000000032</v>
      </c>
    </row>
    <row r="376" spans="1:13" x14ac:dyDescent="0.25">
      <c r="A376" s="14">
        <v>327</v>
      </c>
      <c r="B376" s="14"/>
      <c r="C376" s="1">
        <v>43262</v>
      </c>
      <c r="D376" s="14" t="s">
        <v>96</v>
      </c>
      <c r="E376" s="1" t="s">
        <v>157</v>
      </c>
      <c r="G376" s="2">
        <v>4.63</v>
      </c>
      <c r="H376" s="3" t="s">
        <v>45</v>
      </c>
      <c r="I376" s="2">
        <f t="shared" si="7"/>
        <v>2202.3900000000031</v>
      </c>
    </row>
    <row r="377" spans="1:13" x14ac:dyDescent="0.25">
      <c r="A377" s="14">
        <v>328</v>
      </c>
      <c r="B377" s="14"/>
      <c r="C377" s="1">
        <v>43263</v>
      </c>
      <c r="D377" s="14" t="s">
        <v>454</v>
      </c>
      <c r="E377" s="1" t="s">
        <v>448</v>
      </c>
      <c r="G377" s="2">
        <v>10.35</v>
      </c>
      <c r="H377" s="3" t="s">
        <v>45</v>
      </c>
      <c r="I377" s="2">
        <f t="shared" si="7"/>
        <v>2192.0400000000031</v>
      </c>
      <c r="K377" s="2"/>
      <c r="M377" s="17"/>
    </row>
    <row r="378" spans="1:13" x14ac:dyDescent="0.25">
      <c r="A378" s="14">
        <v>329</v>
      </c>
      <c r="B378" s="14"/>
      <c r="C378" s="1">
        <v>43264</v>
      </c>
      <c r="D378" s="14" t="s">
        <v>451</v>
      </c>
      <c r="E378" s="1" t="s">
        <v>155</v>
      </c>
      <c r="G378" s="2">
        <v>3</v>
      </c>
      <c r="H378" s="3" t="s">
        <v>45</v>
      </c>
      <c r="I378" s="2">
        <f t="shared" si="7"/>
        <v>2189.0400000000031</v>
      </c>
      <c r="J378" s="6" t="s">
        <v>34</v>
      </c>
      <c r="K378" s="2"/>
      <c r="L378" s="2"/>
      <c r="M378" s="17"/>
    </row>
    <row r="379" spans="1:13" x14ac:dyDescent="0.25">
      <c r="A379" s="14"/>
      <c r="B379" s="14">
        <v>48</v>
      </c>
      <c r="C379" s="1"/>
      <c r="D379" s="14" t="s">
        <v>11</v>
      </c>
      <c r="E379" s="1" t="s">
        <v>291</v>
      </c>
      <c r="F379" s="2">
        <v>70.75</v>
      </c>
      <c r="I379" s="2">
        <f t="shared" si="7"/>
        <v>2259.7900000000031</v>
      </c>
      <c r="J379" s="6" t="s">
        <v>143</v>
      </c>
      <c r="K379" s="2"/>
      <c r="L379" s="2"/>
      <c r="M379" s="17"/>
    </row>
    <row r="380" spans="1:13" x14ac:dyDescent="0.25">
      <c r="A380" s="14">
        <v>330</v>
      </c>
      <c r="B380" s="14"/>
      <c r="C380" s="1"/>
      <c r="D380" s="14" t="s">
        <v>11</v>
      </c>
      <c r="E380" s="1" t="s">
        <v>453</v>
      </c>
      <c r="G380" s="2">
        <v>92.23</v>
      </c>
      <c r="H380" s="3" t="s">
        <v>46</v>
      </c>
      <c r="I380" s="2">
        <f t="shared" si="7"/>
        <v>2167.5600000000031</v>
      </c>
      <c r="J380" s="6" t="s">
        <v>452</v>
      </c>
    </row>
    <row r="381" spans="1:13" x14ac:dyDescent="0.25">
      <c r="A381" s="14">
        <v>331</v>
      </c>
      <c r="B381" s="14"/>
      <c r="C381" s="1">
        <v>43264</v>
      </c>
      <c r="D381" s="14" t="s">
        <v>61</v>
      </c>
      <c r="E381" s="1" t="s">
        <v>4</v>
      </c>
      <c r="G381" s="2">
        <v>5</v>
      </c>
      <c r="H381" s="3" t="s">
        <v>44</v>
      </c>
      <c r="I381" s="2">
        <f t="shared" si="7"/>
        <v>2162.5600000000031</v>
      </c>
    </row>
    <row r="382" spans="1:13" x14ac:dyDescent="0.25">
      <c r="A382" s="14">
        <v>332</v>
      </c>
      <c r="B382" s="14"/>
      <c r="C382" s="1">
        <v>43264</v>
      </c>
      <c r="D382" s="14" t="s">
        <v>35</v>
      </c>
      <c r="E382" s="1" t="s">
        <v>400</v>
      </c>
      <c r="G382" s="2">
        <v>10.72</v>
      </c>
      <c r="H382" s="3" t="s">
        <v>45</v>
      </c>
      <c r="I382" s="2">
        <f t="shared" si="7"/>
        <v>2151.8400000000033</v>
      </c>
    </row>
    <row r="383" spans="1:13" x14ac:dyDescent="0.25">
      <c r="A383" s="14">
        <v>333</v>
      </c>
      <c r="B383" s="14"/>
      <c r="C383" s="1">
        <v>43264</v>
      </c>
      <c r="D383" s="14" t="s">
        <v>450</v>
      </c>
      <c r="E383" s="1" t="s">
        <v>449</v>
      </c>
      <c r="G383" s="2">
        <v>50</v>
      </c>
      <c r="H383" s="3" t="s">
        <v>46</v>
      </c>
      <c r="I383" s="2">
        <f t="shared" si="7"/>
        <v>2101.8400000000033</v>
      </c>
    </row>
    <row r="384" spans="1:13" x14ac:dyDescent="0.25">
      <c r="A384" s="14">
        <v>334</v>
      </c>
      <c r="B384" s="14"/>
      <c r="C384" s="1">
        <v>43265</v>
      </c>
      <c r="D384" s="14" t="s">
        <v>15</v>
      </c>
      <c r="E384" s="1" t="s">
        <v>80</v>
      </c>
      <c r="G384" s="2">
        <v>6.05</v>
      </c>
      <c r="H384" s="3" t="s">
        <v>45</v>
      </c>
      <c r="I384" s="2">
        <f t="shared" si="7"/>
        <v>2095.7900000000031</v>
      </c>
    </row>
    <row r="385" spans="1:10" x14ac:dyDescent="0.25">
      <c r="A385" s="14">
        <v>335</v>
      </c>
      <c r="B385" s="14"/>
      <c r="C385" s="1">
        <v>43266</v>
      </c>
      <c r="D385" s="14" t="s">
        <v>15</v>
      </c>
      <c r="E385" s="1" t="s">
        <v>182</v>
      </c>
      <c r="G385" s="22">
        <v>17.52</v>
      </c>
      <c r="H385" s="3" t="s">
        <v>45</v>
      </c>
      <c r="I385" s="2">
        <f t="shared" si="7"/>
        <v>2078.2700000000032</v>
      </c>
    </row>
    <row r="386" spans="1:10" x14ac:dyDescent="0.25">
      <c r="A386" s="14">
        <v>336</v>
      </c>
      <c r="B386" s="14"/>
      <c r="C386" s="1">
        <v>43267</v>
      </c>
      <c r="D386" s="14" t="s">
        <v>78</v>
      </c>
      <c r="E386" s="1" t="s">
        <v>455</v>
      </c>
      <c r="G386" s="2">
        <v>15.68</v>
      </c>
      <c r="H386" s="3" t="s">
        <v>45</v>
      </c>
      <c r="I386" s="2">
        <f t="shared" si="7"/>
        <v>2062.5900000000033</v>
      </c>
    </row>
    <row r="387" spans="1:10" x14ac:dyDescent="0.25">
      <c r="A387" s="14"/>
      <c r="B387" s="14">
        <v>49</v>
      </c>
      <c r="C387" s="1">
        <v>43268</v>
      </c>
      <c r="D387" s="14" t="s">
        <v>11</v>
      </c>
      <c r="E387" s="1" t="s">
        <v>456</v>
      </c>
      <c r="F387" s="2">
        <v>2078.35</v>
      </c>
      <c r="I387" s="2">
        <f t="shared" si="7"/>
        <v>4140.9400000000032</v>
      </c>
    </row>
    <row r="388" spans="1:10" x14ac:dyDescent="0.25">
      <c r="A388" s="14">
        <v>337</v>
      </c>
      <c r="B388" s="14"/>
      <c r="C388" s="1">
        <v>43269</v>
      </c>
      <c r="D388" s="14" t="s">
        <v>164</v>
      </c>
      <c r="E388" s="1" t="s">
        <v>165</v>
      </c>
      <c r="G388" s="2">
        <v>8.35</v>
      </c>
      <c r="H388" s="3" t="s">
        <v>45</v>
      </c>
      <c r="I388" s="2">
        <f t="shared" si="7"/>
        <v>4132.5900000000029</v>
      </c>
      <c r="J388" s="6" t="s">
        <v>34</v>
      </c>
    </row>
    <row r="389" spans="1:10" x14ac:dyDescent="0.25">
      <c r="A389" s="14">
        <v>338</v>
      </c>
      <c r="B389" s="14"/>
      <c r="C389" s="1">
        <v>43269</v>
      </c>
      <c r="D389" s="14" t="s">
        <v>59</v>
      </c>
      <c r="E389" s="1" t="s">
        <v>276</v>
      </c>
      <c r="G389" s="2">
        <v>5.7</v>
      </c>
      <c r="H389" s="3" t="s">
        <v>45</v>
      </c>
      <c r="I389" s="2">
        <f t="shared" si="7"/>
        <v>4126.8900000000031</v>
      </c>
      <c r="J389" s="6" t="s">
        <v>34</v>
      </c>
    </row>
    <row r="390" spans="1:10" x14ac:dyDescent="0.25">
      <c r="A390" s="14">
        <v>339</v>
      </c>
      <c r="B390" s="14"/>
      <c r="C390" s="1">
        <v>43270</v>
      </c>
      <c r="D390" s="14" t="s">
        <v>15</v>
      </c>
      <c r="E390" s="1" t="s">
        <v>457</v>
      </c>
      <c r="G390" s="2">
        <v>5.37</v>
      </c>
      <c r="H390" s="3" t="s">
        <v>45</v>
      </c>
      <c r="I390" s="2">
        <f t="shared" si="7"/>
        <v>4121.5200000000032</v>
      </c>
    </row>
    <row r="391" spans="1:10" x14ac:dyDescent="0.25">
      <c r="A391" s="14">
        <v>340</v>
      </c>
      <c r="B391" s="14"/>
      <c r="C391" s="1">
        <v>43270</v>
      </c>
      <c r="D391" s="14" t="s">
        <v>35</v>
      </c>
      <c r="E391" s="1" t="s">
        <v>458</v>
      </c>
      <c r="G391" s="2">
        <v>19.3</v>
      </c>
      <c r="H391" s="3" t="s">
        <v>45</v>
      </c>
      <c r="I391" s="2">
        <f t="shared" si="7"/>
        <v>4102.220000000003</v>
      </c>
    </row>
    <row r="392" spans="1:10" x14ac:dyDescent="0.25">
      <c r="A392" s="14">
        <v>341</v>
      </c>
      <c r="B392" s="14"/>
      <c r="C392" s="1">
        <v>43271</v>
      </c>
      <c r="D392" s="14" t="s">
        <v>15</v>
      </c>
      <c r="E392" s="1" t="s">
        <v>459</v>
      </c>
      <c r="G392" s="2">
        <v>18.93</v>
      </c>
      <c r="H392" s="3" t="s">
        <v>45</v>
      </c>
      <c r="I392" s="2">
        <f t="shared" si="7"/>
        <v>4083.2900000000031</v>
      </c>
    </row>
    <row r="393" spans="1:10" x14ac:dyDescent="0.25">
      <c r="A393" s="14">
        <v>342</v>
      </c>
      <c r="B393" s="14"/>
      <c r="C393" s="1">
        <v>43271</v>
      </c>
      <c r="D393" s="14" t="s">
        <v>67</v>
      </c>
      <c r="E393" s="1" t="s">
        <v>128</v>
      </c>
      <c r="G393" s="2">
        <v>6.55</v>
      </c>
      <c r="H393" s="3" t="s">
        <v>45</v>
      </c>
      <c r="I393" s="2">
        <f t="shared" si="7"/>
        <v>4076.740000000003</v>
      </c>
    </row>
    <row r="394" spans="1:10" x14ac:dyDescent="0.25">
      <c r="A394" s="14">
        <v>343</v>
      </c>
      <c r="B394" s="14"/>
      <c r="C394" s="1">
        <v>43271</v>
      </c>
      <c r="D394" s="14" t="s">
        <v>160</v>
      </c>
      <c r="E394" s="1" t="s">
        <v>460</v>
      </c>
      <c r="G394" s="2">
        <v>12</v>
      </c>
      <c r="H394" s="3" t="s">
        <v>45</v>
      </c>
      <c r="I394" s="2">
        <f t="shared" si="7"/>
        <v>4064.740000000003</v>
      </c>
      <c r="J394" s="6" t="s">
        <v>34</v>
      </c>
    </row>
    <row r="395" spans="1:10" x14ac:dyDescent="0.25">
      <c r="A395" s="14">
        <v>344</v>
      </c>
      <c r="B395" s="14"/>
      <c r="C395" s="1">
        <v>43272</v>
      </c>
      <c r="D395" s="14" t="s">
        <v>461</v>
      </c>
      <c r="E395" s="1" t="s">
        <v>462</v>
      </c>
      <c r="G395" s="2">
        <v>7.89</v>
      </c>
      <c r="H395" s="3" t="s">
        <v>45</v>
      </c>
      <c r="I395" s="2">
        <f t="shared" si="7"/>
        <v>4056.8500000000031</v>
      </c>
    </row>
    <row r="396" spans="1:10" x14ac:dyDescent="0.25">
      <c r="A396" s="14">
        <v>345</v>
      </c>
      <c r="B396" s="14"/>
      <c r="C396" s="1">
        <v>43273</v>
      </c>
      <c r="D396" s="14" t="s">
        <v>463</v>
      </c>
      <c r="E396" s="1" t="s">
        <v>464</v>
      </c>
      <c r="G396" s="2">
        <v>12.49</v>
      </c>
      <c r="H396" s="3" t="s">
        <v>45</v>
      </c>
      <c r="I396" s="2">
        <f t="shared" si="7"/>
        <v>4044.3600000000033</v>
      </c>
    </row>
    <row r="397" spans="1:10" x14ac:dyDescent="0.25">
      <c r="A397" s="14">
        <v>346</v>
      </c>
      <c r="B397" s="14"/>
      <c r="C397" s="1">
        <v>43273</v>
      </c>
      <c r="D397" s="14" t="s">
        <v>465</v>
      </c>
      <c r="E397" s="1" t="s">
        <v>466</v>
      </c>
      <c r="G397" s="2">
        <v>15.79</v>
      </c>
      <c r="H397" s="3" t="s">
        <v>45</v>
      </c>
      <c r="I397" s="2">
        <f t="shared" si="7"/>
        <v>4028.5700000000033</v>
      </c>
    </row>
    <row r="398" spans="1:10" x14ac:dyDescent="0.25">
      <c r="A398" s="14">
        <v>347</v>
      </c>
      <c r="B398" s="14"/>
      <c r="C398" s="1">
        <v>43273</v>
      </c>
      <c r="D398" s="14" t="s">
        <v>468</v>
      </c>
      <c r="E398" s="1" t="s">
        <v>469</v>
      </c>
      <c r="G398" s="2">
        <v>2.5</v>
      </c>
      <c r="H398" s="3" t="s">
        <v>45</v>
      </c>
      <c r="I398" s="2">
        <f t="shared" si="7"/>
        <v>4026.0700000000033</v>
      </c>
    </row>
    <row r="399" spans="1:10" x14ac:dyDescent="0.25">
      <c r="A399" s="14">
        <v>348</v>
      </c>
      <c r="B399" s="14"/>
      <c r="C399" s="1">
        <v>43274</v>
      </c>
      <c r="D399" s="14" t="s">
        <v>63</v>
      </c>
      <c r="E399" s="1" t="s">
        <v>17</v>
      </c>
      <c r="G399" s="2">
        <v>119.8</v>
      </c>
      <c r="H399" s="3" t="s">
        <v>17</v>
      </c>
      <c r="I399" s="2">
        <f t="shared" si="7"/>
        <v>3906.2700000000032</v>
      </c>
    </row>
    <row r="400" spans="1:10" x14ac:dyDescent="0.25">
      <c r="A400" s="14">
        <v>349</v>
      </c>
      <c r="B400" s="14"/>
      <c r="C400" s="1">
        <v>43274</v>
      </c>
      <c r="D400" s="14" t="s">
        <v>41</v>
      </c>
      <c r="E400" s="1" t="s">
        <v>108</v>
      </c>
      <c r="G400" s="2">
        <v>12.41</v>
      </c>
      <c r="H400" s="3" t="s">
        <v>45</v>
      </c>
      <c r="I400" s="2">
        <f t="shared" si="7"/>
        <v>3893.8600000000033</v>
      </c>
    </row>
    <row r="401" spans="1:13" x14ac:dyDescent="0.25">
      <c r="A401" s="14">
        <v>350</v>
      </c>
      <c r="B401" s="14"/>
      <c r="C401" s="1">
        <v>43274</v>
      </c>
      <c r="D401" s="14" t="s">
        <v>11</v>
      </c>
      <c r="E401" s="1" t="s">
        <v>467</v>
      </c>
      <c r="G401" s="2">
        <v>152</v>
      </c>
      <c r="H401" s="3" t="s">
        <v>46</v>
      </c>
      <c r="I401" s="2">
        <f t="shared" si="7"/>
        <v>3741.8600000000033</v>
      </c>
    </row>
    <row r="402" spans="1:13" x14ac:dyDescent="0.25">
      <c r="A402" s="14">
        <v>351</v>
      </c>
      <c r="B402" s="14"/>
      <c r="C402" s="1">
        <v>43274</v>
      </c>
      <c r="D402" s="14" t="s">
        <v>168</v>
      </c>
      <c r="E402" s="1" t="s">
        <v>175</v>
      </c>
      <c r="G402" s="2">
        <v>6</v>
      </c>
      <c r="H402" s="3" t="s">
        <v>45</v>
      </c>
      <c r="I402" s="2">
        <f t="shared" si="7"/>
        <v>3735.8600000000033</v>
      </c>
    </row>
    <row r="403" spans="1:13" x14ac:dyDescent="0.25">
      <c r="A403" s="14">
        <v>352</v>
      </c>
      <c r="B403" s="14"/>
      <c r="C403" s="1">
        <v>43276</v>
      </c>
      <c r="D403" s="14" t="s">
        <v>6</v>
      </c>
      <c r="E403" s="1" t="s">
        <v>14</v>
      </c>
      <c r="G403" s="2">
        <v>9.32</v>
      </c>
      <c r="H403" s="3" t="s">
        <v>45</v>
      </c>
      <c r="I403" s="2">
        <f t="shared" si="7"/>
        <v>3726.5400000000031</v>
      </c>
    </row>
    <row r="404" spans="1:13" x14ac:dyDescent="0.25">
      <c r="A404" s="14">
        <v>353</v>
      </c>
      <c r="B404" s="14"/>
      <c r="C404" s="1">
        <v>43276</v>
      </c>
      <c r="D404" s="14" t="s">
        <v>141</v>
      </c>
      <c r="E404" s="1" t="s">
        <v>142</v>
      </c>
      <c r="G404" s="2">
        <v>40</v>
      </c>
      <c r="H404" s="3" t="s">
        <v>46</v>
      </c>
      <c r="I404" s="2">
        <f t="shared" si="7"/>
        <v>3686.5400000000031</v>
      </c>
    </row>
    <row r="405" spans="1:13" x14ac:dyDescent="0.25">
      <c r="A405" s="14">
        <v>354</v>
      </c>
      <c r="B405" s="14"/>
      <c r="C405" s="1">
        <v>43277</v>
      </c>
      <c r="D405" s="14" t="s">
        <v>164</v>
      </c>
      <c r="E405" s="1" t="s">
        <v>165</v>
      </c>
      <c r="G405" s="2">
        <v>8.35</v>
      </c>
      <c r="H405" s="3" t="s">
        <v>45</v>
      </c>
      <c r="I405" s="2">
        <f t="shared" si="7"/>
        <v>3678.1900000000032</v>
      </c>
      <c r="J405" s="6" t="s">
        <v>34</v>
      </c>
    </row>
    <row r="406" spans="1:13" x14ac:dyDescent="0.25">
      <c r="A406" s="14">
        <v>355</v>
      </c>
      <c r="B406" s="14"/>
      <c r="C406" s="1">
        <v>43279</v>
      </c>
      <c r="D406" s="14" t="s">
        <v>61</v>
      </c>
      <c r="E406" s="1" t="s">
        <v>4</v>
      </c>
      <c r="G406" s="2">
        <v>5</v>
      </c>
      <c r="H406" s="3" t="s">
        <v>44</v>
      </c>
      <c r="I406" s="2">
        <f t="shared" si="7"/>
        <v>3673.1900000000032</v>
      </c>
    </row>
    <row r="407" spans="1:13" x14ac:dyDescent="0.25">
      <c r="A407" s="14">
        <v>356</v>
      </c>
      <c r="B407" s="14"/>
      <c r="C407" s="1">
        <v>43279</v>
      </c>
      <c r="D407" s="14" t="s">
        <v>61</v>
      </c>
      <c r="E407" s="1" t="s">
        <v>4</v>
      </c>
      <c r="G407" s="2">
        <v>5</v>
      </c>
      <c r="H407" s="3" t="s">
        <v>44</v>
      </c>
      <c r="I407" s="2">
        <f t="shared" ref="I407:I517" si="8">(I406+F407-G407)</f>
        <v>3668.1900000000032</v>
      </c>
    </row>
    <row r="408" spans="1:13" x14ac:dyDescent="0.25">
      <c r="A408" s="14">
        <v>357</v>
      </c>
      <c r="B408" s="14"/>
      <c r="C408" s="1">
        <v>43279</v>
      </c>
      <c r="D408" s="14" t="s">
        <v>470</v>
      </c>
      <c r="E408" s="1" t="s">
        <v>471</v>
      </c>
      <c r="G408" s="2">
        <v>10</v>
      </c>
      <c r="H408" s="3" t="s">
        <v>45</v>
      </c>
      <c r="I408" s="2">
        <f t="shared" si="8"/>
        <v>3658.1900000000032</v>
      </c>
      <c r="K408" s="2"/>
      <c r="L408" s="16"/>
      <c r="M408" s="17"/>
    </row>
    <row r="409" spans="1:13" x14ac:dyDescent="0.25">
      <c r="A409" s="14">
        <v>358</v>
      </c>
      <c r="B409" s="14"/>
      <c r="C409" s="1">
        <v>43279</v>
      </c>
      <c r="D409" s="14" t="s">
        <v>403</v>
      </c>
      <c r="E409" s="1" t="s">
        <v>472</v>
      </c>
      <c r="G409" s="2">
        <v>15</v>
      </c>
      <c r="H409" s="3" t="s">
        <v>251</v>
      </c>
      <c r="I409" s="2">
        <f t="shared" si="8"/>
        <v>3643.1900000000032</v>
      </c>
      <c r="K409" s="2"/>
      <c r="L409" s="16"/>
      <c r="M409" s="17"/>
    </row>
    <row r="410" spans="1:13" x14ac:dyDescent="0.25">
      <c r="A410" s="14">
        <v>359</v>
      </c>
      <c r="B410" s="14"/>
      <c r="C410" s="1">
        <v>43280</v>
      </c>
      <c r="D410" s="14" t="s">
        <v>473</v>
      </c>
      <c r="E410" s="1" t="s">
        <v>474</v>
      </c>
      <c r="G410" s="2">
        <v>15.82</v>
      </c>
      <c r="H410" s="3" t="s">
        <v>46</v>
      </c>
      <c r="I410" s="2">
        <f t="shared" si="8"/>
        <v>3627.3700000000031</v>
      </c>
      <c r="K410" s="2"/>
      <c r="L410" s="19" t="s">
        <v>425</v>
      </c>
      <c r="M410" s="17"/>
    </row>
    <row r="411" spans="1:13" x14ac:dyDescent="0.25">
      <c r="A411" s="14">
        <v>360</v>
      </c>
      <c r="B411" s="14"/>
      <c r="C411" s="1">
        <v>43280</v>
      </c>
      <c r="D411" s="14" t="s">
        <v>141</v>
      </c>
      <c r="E411" s="1" t="s">
        <v>142</v>
      </c>
      <c r="G411" s="2">
        <v>60</v>
      </c>
      <c r="H411" s="3" t="s">
        <v>46</v>
      </c>
      <c r="I411" s="2">
        <f t="shared" si="8"/>
        <v>3567.3700000000031</v>
      </c>
      <c r="L411" s="2">
        <f>SUM(G342:G412)-G342</f>
        <v>1252.5599999999997</v>
      </c>
    </row>
    <row r="412" spans="1:13" x14ac:dyDescent="0.25">
      <c r="A412" s="14">
        <v>361</v>
      </c>
      <c r="B412" s="14"/>
      <c r="C412" s="1">
        <v>43281</v>
      </c>
      <c r="D412" s="14" t="s">
        <v>11</v>
      </c>
      <c r="E412" s="1" t="s">
        <v>475</v>
      </c>
      <c r="G412" s="2">
        <v>15</v>
      </c>
      <c r="H412" s="3" t="s">
        <v>46</v>
      </c>
      <c r="I412" s="2">
        <f t="shared" si="8"/>
        <v>3552.3700000000031</v>
      </c>
      <c r="L412" s="16">
        <f>L411/L12</f>
        <v>0.10034472067851415</v>
      </c>
      <c r="M412" s="17"/>
    </row>
    <row r="413" spans="1:13" x14ac:dyDescent="0.25">
      <c r="A413" s="14">
        <v>362</v>
      </c>
      <c r="B413" s="14"/>
      <c r="C413" s="1">
        <v>43282</v>
      </c>
      <c r="D413" s="14" t="s">
        <v>11</v>
      </c>
      <c r="E413" s="1" t="s">
        <v>192</v>
      </c>
      <c r="G413" s="2">
        <v>14.25</v>
      </c>
      <c r="H413" s="3" t="s">
        <v>245</v>
      </c>
      <c r="I413" s="2">
        <f t="shared" si="8"/>
        <v>3538.1200000000031</v>
      </c>
      <c r="J413" s="6" t="s">
        <v>476</v>
      </c>
    </row>
    <row r="414" spans="1:13" x14ac:dyDescent="0.25">
      <c r="A414" s="14">
        <v>363</v>
      </c>
      <c r="B414" s="14"/>
      <c r="C414" s="1">
        <v>43282</v>
      </c>
      <c r="D414" s="14" t="s">
        <v>11</v>
      </c>
      <c r="E414" s="1" t="s">
        <v>76</v>
      </c>
      <c r="G414" s="2">
        <v>560</v>
      </c>
      <c r="H414" s="3" t="s">
        <v>76</v>
      </c>
      <c r="I414" s="2">
        <f t="shared" si="8"/>
        <v>2978.1200000000031</v>
      </c>
    </row>
    <row r="415" spans="1:13" x14ac:dyDescent="0.25">
      <c r="A415" s="14">
        <v>364</v>
      </c>
      <c r="B415" s="14"/>
      <c r="C415" s="1">
        <v>43283</v>
      </c>
      <c r="D415" s="14" t="s">
        <v>117</v>
      </c>
      <c r="E415" s="1" t="s">
        <v>116</v>
      </c>
      <c r="G415" s="2">
        <v>10</v>
      </c>
      <c r="H415" s="3" t="s">
        <v>45</v>
      </c>
      <c r="I415" s="2">
        <f t="shared" si="8"/>
        <v>2968.1200000000031</v>
      </c>
      <c r="M415" s="17"/>
    </row>
    <row r="416" spans="1:13" x14ac:dyDescent="0.25">
      <c r="A416" s="14">
        <v>365</v>
      </c>
      <c r="B416" s="14"/>
      <c r="C416" s="1">
        <v>43283</v>
      </c>
      <c r="D416" s="14" t="s">
        <v>11</v>
      </c>
      <c r="E416" s="1" t="s">
        <v>478</v>
      </c>
      <c r="G416" s="2">
        <v>29.45</v>
      </c>
      <c r="H416" s="3" t="s">
        <v>252</v>
      </c>
      <c r="I416" s="2">
        <f t="shared" si="8"/>
        <v>2938.6700000000033</v>
      </c>
      <c r="J416" s="6" t="s">
        <v>357</v>
      </c>
    </row>
    <row r="417" spans="1:13" x14ac:dyDescent="0.25">
      <c r="A417" s="14">
        <v>366</v>
      </c>
      <c r="B417" s="14"/>
      <c r="C417" s="1">
        <v>43284</v>
      </c>
      <c r="D417" s="14" t="s">
        <v>61</v>
      </c>
      <c r="E417" s="1" t="s">
        <v>4</v>
      </c>
      <c r="G417" s="2">
        <v>5</v>
      </c>
      <c r="H417" s="3" t="s">
        <v>44</v>
      </c>
      <c r="I417" s="2">
        <f t="shared" si="8"/>
        <v>2933.6700000000033</v>
      </c>
      <c r="K417" s="2"/>
      <c r="L417" s="2"/>
    </row>
    <row r="418" spans="1:13" x14ac:dyDescent="0.25">
      <c r="A418" s="14"/>
      <c r="B418" s="14">
        <v>50</v>
      </c>
      <c r="C418" s="1">
        <v>43284</v>
      </c>
      <c r="D418" s="14" t="s">
        <v>11</v>
      </c>
      <c r="E418" s="1" t="s">
        <v>140</v>
      </c>
      <c r="F418" s="2">
        <v>0.02</v>
      </c>
      <c r="I418" s="2">
        <f t="shared" si="8"/>
        <v>2933.6900000000032</v>
      </c>
      <c r="K418" s="2"/>
      <c r="L418" s="2"/>
    </row>
    <row r="419" spans="1:13" x14ac:dyDescent="0.25">
      <c r="A419" s="14">
        <v>367</v>
      </c>
      <c r="B419" s="14"/>
      <c r="C419" s="1">
        <v>43286</v>
      </c>
      <c r="D419" s="14" t="s">
        <v>15</v>
      </c>
      <c r="E419" s="1" t="s">
        <v>97</v>
      </c>
      <c r="G419" s="2">
        <v>2.21</v>
      </c>
      <c r="H419" s="3" t="s">
        <v>45</v>
      </c>
      <c r="I419" s="2">
        <f t="shared" si="8"/>
        <v>2931.4800000000032</v>
      </c>
      <c r="K419" s="2"/>
      <c r="L419" s="2"/>
    </row>
    <row r="420" spans="1:13" x14ac:dyDescent="0.25">
      <c r="A420" s="14">
        <v>368</v>
      </c>
      <c r="B420" s="14"/>
      <c r="C420" s="1">
        <v>43287</v>
      </c>
      <c r="D420" s="14" t="s">
        <v>20</v>
      </c>
      <c r="E420" s="1" t="s">
        <v>481</v>
      </c>
      <c r="G420" s="2">
        <v>12.19</v>
      </c>
      <c r="H420" s="3" t="s">
        <v>45</v>
      </c>
      <c r="I420" s="2">
        <f t="shared" si="8"/>
        <v>2919.2900000000031</v>
      </c>
      <c r="K420" s="2"/>
      <c r="L420" s="2"/>
    </row>
    <row r="421" spans="1:13" x14ac:dyDescent="0.25">
      <c r="A421" s="14">
        <v>369</v>
      </c>
      <c r="B421" s="14"/>
      <c r="C421" s="1">
        <v>43287</v>
      </c>
      <c r="D421" s="14" t="s">
        <v>18</v>
      </c>
      <c r="E421" s="1" t="s">
        <v>482</v>
      </c>
      <c r="G421" s="2">
        <v>31.95</v>
      </c>
      <c r="H421" s="3" t="s">
        <v>251</v>
      </c>
      <c r="I421" s="2">
        <f t="shared" si="8"/>
        <v>2887.3400000000033</v>
      </c>
      <c r="K421" s="2"/>
      <c r="L421" s="2"/>
    </row>
    <row r="422" spans="1:13" x14ac:dyDescent="0.25">
      <c r="A422" s="14">
        <v>370</v>
      </c>
      <c r="B422" s="14"/>
      <c r="C422" s="1">
        <v>43289</v>
      </c>
      <c r="D422" s="14" t="s">
        <v>468</v>
      </c>
      <c r="E422" s="1" t="s">
        <v>17</v>
      </c>
      <c r="G422" s="2">
        <v>44.37</v>
      </c>
      <c r="H422" s="3" t="s">
        <v>17</v>
      </c>
      <c r="I422" s="2">
        <f t="shared" si="8"/>
        <v>2842.9700000000034</v>
      </c>
      <c r="K422" s="2"/>
      <c r="L422" s="2"/>
    </row>
    <row r="423" spans="1:13" x14ac:dyDescent="0.25">
      <c r="A423" s="14">
        <v>371</v>
      </c>
      <c r="B423" s="14"/>
      <c r="C423" s="1">
        <v>43290</v>
      </c>
      <c r="D423" s="14" t="s">
        <v>11</v>
      </c>
      <c r="E423" s="1" t="s">
        <v>483</v>
      </c>
      <c r="G423" s="2">
        <v>5</v>
      </c>
      <c r="H423" s="3" t="s">
        <v>44</v>
      </c>
      <c r="I423" s="2">
        <f t="shared" si="8"/>
        <v>2837.9700000000034</v>
      </c>
      <c r="J423" s="6" t="s">
        <v>484</v>
      </c>
      <c r="K423" s="2"/>
      <c r="L423" s="2"/>
    </row>
    <row r="424" spans="1:13" x14ac:dyDescent="0.25">
      <c r="A424" s="14">
        <v>372</v>
      </c>
      <c r="B424" s="14"/>
      <c r="C424" s="1">
        <v>43290</v>
      </c>
      <c r="D424" s="14" t="s">
        <v>61</v>
      </c>
      <c r="E424" s="1" t="s">
        <v>97</v>
      </c>
      <c r="G424" s="2">
        <v>2.81</v>
      </c>
      <c r="H424" s="3" t="s">
        <v>45</v>
      </c>
      <c r="I424" s="2">
        <f t="shared" si="8"/>
        <v>2835.1600000000035</v>
      </c>
      <c r="J424" s="6" t="s">
        <v>34</v>
      </c>
      <c r="K424" s="2"/>
      <c r="L424" s="2"/>
    </row>
    <row r="425" spans="1:13" x14ac:dyDescent="0.25">
      <c r="A425" s="14">
        <v>373</v>
      </c>
      <c r="B425" s="14"/>
      <c r="C425" s="1">
        <v>43290</v>
      </c>
      <c r="D425" s="14" t="s">
        <v>485</v>
      </c>
      <c r="E425" s="1" t="s">
        <v>486</v>
      </c>
      <c r="G425" s="2">
        <v>13.14</v>
      </c>
      <c r="H425" s="3" t="s">
        <v>45</v>
      </c>
      <c r="I425" s="2">
        <f t="shared" si="8"/>
        <v>2822.0200000000036</v>
      </c>
      <c r="J425" s="6" t="s">
        <v>34</v>
      </c>
    </row>
    <row r="426" spans="1:13" x14ac:dyDescent="0.25">
      <c r="A426" s="14"/>
      <c r="B426" s="14">
        <v>51</v>
      </c>
      <c r="C426" s="1">
        <v>43291</v>
      </c>
      <c r="D426" s="14" t="s">
        <v>11</v>
      </c>
      <c r="E426" s="1" t="s">
        <v>487</v>
      </c>
      <c r="F426" s="2">
        <v>52.98</v>
      </c>
      <c r="I426" s="2">
        <f t="shared" si="8"/>
        <v>2875.0000000000036</v>
      </c>
    </row>
    <row r="427" spans="1:13" x14ac:dyDescent="0.25">
      <c r="A427" s="14">
        <v>374</v>
      </c>
      <c r="B427" s="14"/>
      <c r="C427" s="1">
        <v>43291</v>
      </c>
      <c r="D427" s="14" t="s">
        <v>11</v>
      </c>
      <c r="E427" s="1" t="s">
        <v>479</v>
      </c>
      <c r="G427" s="2">
        <v>40</v>
      </c>
      <c r="H427" s="3" t="s">
        <v>46</v>
      </c>
      <c r="I427" s="2">
        <f t="shared" si="8"/>
        <v>2835.0000000000036</v>
      </c>
      <c r="J427" s="6" t="s">
        <v>480</v>
      </c>
    </row>
    <row r="428" spans="1:13" x14ac:dyDescent="0.25">
      <c r="A428" s="14">
        <v>375</v>
      </c>
      <c r="B428" s="14"/>
      <c r="C428" s="1">
        <v>43291</v>
      </c>
      <c r="D428" s="14" t="s">
        <v>96</v>
      </c>
      <c r="E428" s="1" t="s">
        <v>157</v>
      </c>
      <c r="G428" s="2">
        <v>6</v>
      </c>
      <c r="H428" s="3" t="s">
        <v>45</v>
      </c>
      <c r="I428" s="2">
        <f t="shared" si="8"/>
        <v>2829.0000000000036</v>
      </c>
    </row>
    <row r="429" spans="1:13" x14ac:dyDescent="0.25">
      <c r="A429" s="14">
        <v>376</v>
      </c>
      <c r="B429" s="14"/>
      <c r="C429" s="1">
        <v>43292</v>
      </c>
      <c r="D429" s="14" t="s">
        <v>489</v>
      </c>
      <c r="E429" s="1" t="s">
        <v>432</v>
      </c>
      <c r="G429" s="2">
        <v>6</v>
      </c>
      <c r="H429" s="3" t="s">
        <v>45</v>
      </c>
      <c r="I429" s="2">
        <f t="shared" si="8"/>
        <v>2823.0000000000036</v>
      </c>
    </row>
    <row r="430" spans="1:13" x14ac:dyDescent="0.25">
      <c r="A430" s="14">
        <v>377</v>
      </c>
      <c r="B430" s="14"/>
      <c r="C430" s="1">
        <v>43292</v>
      </c>
      <c r="D430" s="14" t="s">
        <v>488</v>
      </c>
      <c r="E430" s="1" t="s">
        <v>347</v>
      </c>
      <c r="G430" s="2">
        <v>6.66</v>
      </c>
      <c r="H430" s="3" t="s">
        <v>45</v>
      </c>
      <c r="I430" s="2">
        <f t="shared" si="8"/>
        <v>2816.3400000000038</v>
      </c>
    </row>
    <row r="431" spans="1:13" x14ac:dyDescent="0.25">
      <c r="A431" s="14">
        <v>378</v>
      </c>
      <c r="B431" s="14"/>
      <c r="C431" s="1">
        <v>43293</v>
      </c>
      <c r="D431" s="14" t="s">
        <v>67</v>
      </c>
      <c r="E431" s="1" t="s">
        <v>175</v>
      </c>
      <c r="G431" s="2">
        <v>6.55</v>
      </c>
      <c r="H431" s="3" t="s">
        <v>45</v>
      </c>
      <c r="I431" s="2">
        <f t="shared" si="8"/>
        <v>2809.7900000000036</v>
      </c>
      <c r="K431" s="2"/>
      <c r="L431" s="16"/>
      <c r="M431" s="17"/>
    </row>
    <row r="432" spans="1:13" x14ac:dyDescent="0.25">
      <c r="A432" s="14">
        <v>379</v>
      </c>
      <c r="B432" s="14"/>
      <c r="C432" s="1">
        <v>43293</v>
      </c>
      <c r="D432" s="14" t="s">
        <v>490</v>
      </c>
      <c r="E432" s="1" t="s">
        <v>491</v>
      </c>
      <c r="G432" s="2">
        <v>17.829999999999998</v>
      </c>
      <c r="H432" s="3" t="s">
        <v>45</v>
      </c>
      <c r="I432" s="2">
        <f t="shared" si="8"/>
        <v>2791.9600000000037</v>
      </c>
      <c r="K432" s="2"/>
      <c r="L432" s="16"/>
      <c r="M432" s="17"/>
    </row>
    <row r="433" spans="1:13" x14ac:dyDescent="0.25">
      <c r="A433" s="14">
        <v>380</v>
      </c>
      <c r="B433" s="14"/>
      <c r="C433" s="1">
        <v>43293</v>
      </c>
      <c r="D433" s="14" t="s">
        <v>15</v>
      </c>
      <c r="E433" s="1" t="s">
        <v>492</v>
      </c>
      <c r="G433" s="2">
        <v>5.48</v>
      </c>
      <c r="H433" s="3" t="s">
        <v>45</v>
      </c>
      <c r="I433" s="2">
        <f t="shared" si="8"/>
        <v>2786.4800000000037</v>
      </c>
    </row>
    <row r="434" spans="1:13" x14ac:dyDescent="0.25">
      <c r="A434" s="14">
        <v>381</v>
      </c>
      <c r="B434" s="14"/>
      <c r="C434" s="1">
        <v>43294</v>
      </c>
      <c r="D434" s="14" t="s">
        <v>493</v>
      </c>
      <c r="E434" s="1" t="s">
        <v>494</v>
      </c>
      <c r="G434" s="2">
        <v>613.36</v>
      </c>
      <c r="H434" s="3" t="s">
        <v>46</v>
      </c>
      <c r="I434" s="2">
        <f t="shared" si="8"/>
        <v>2173.1200000000035</v>
      </c>
    </row>
    <row r="435" spans="1:13" x14ac:dyDescent="0.25">
      <c r="A435" s="14">
        <v>382</v>
      </c>
      <c r="B435" s="14"/>
      <c r="C435" s="1">
        <v>43295</v>
      </c>
      <c r="D435" s="14" t="s">
        <v>78</v>
      </c>
      <c r="E435" s="1" t="s">
        <v>495</v>
      </c>
      <c r="G435" s="2">
        <v>10.15</v>
      </c>
      <c r="H435" s="3" t="s">
        <v>45</v>
      </c>
      <c r="I435" s="2">
        <f t="shared" si="8"/>
        <v>2162.9700000000034</v>
      </c>
    </row>
    <row r="436" spans="1:13" x14ac:dyDescent="0.25">
      <c r="A436" s="14">
        <v>383</v>
      </c>
      <c r="B436" s="14"/>
      <c r="C436" s="1">
        <v>43297</v>
      </c>
      <c r="D436" s="14" t="s">
        <v>490</v>
      </c>
      <c r="E436" s="1" t="s">
        <v>496</v>
      </c>
      <c r="G436" s="2">
        <v>8.92</v>
      </c>
      <c r="H436" s="3" t="s">
        <v>45</v>
      </c>
      <c r="I436" s="2">
        <f t="shared" si="8"/>
        <v>2154.0500000000034</v>
      </c>
    </row>
    <row r="437" spans="1:13" x14ac:dyDescent="0.25">
      <c r="A437" s="14">
        <v>384</v>
      </c>
      <c r="B437" s="14"/>
      <c r="C437" s="1">
        <v>43298</v>
      </c>
      <c r="D437" s="14" t="s">
        <v>96</v>
      </c>
      <c r="E437" s="1" t="s">
        <v>447</v>
      </c>
      <c r="G437" s="2">
        <v>9</v>
      </c>
      <c r="H437" s="3" t="s">
        <v>45</v>
      </c>
      <c r="I437" s="2">
        <f t="shared" si="8"/>
        <v>2145.0500000000034</v>
      </c>
    </row>
    <row r="438" spans="1:13" x14ac:dyDescent="0.25">
      <c r="A438" s="14">
        <v>385</v>
      </c>
      <c r="B438" s="14"/>
      <c r="C438" s="1">
        <v>43298</v>
      </c>
      <c r="D438" s="14" t="s">
        <v>11</v>
      </c>
      <c r="E438" s="1" t="s">
        <v>497</v>
      </c>
      <c r="G438" s="2">
        <v>20</v>
      </c>
      <c r="H438" s="3" t="s">
        <v>252</v>
      </c>
      <c r="I438" s="2">
        <f t="shared" si="8"/>
        <v>2125.0500000000034</v>
      </c>
      <c r="J438" s="6" t="s">
        <v>498</v>
      </c>
    </row>
    <row r="439" spans="1:13" x14ac:dyDescent="0.25">
      <c r="A439" s="14">
        <v>386</v>
      </c>
      <c r="B439" s="14"/>
      <c r="C439" s="1">
        <v>43300</v>
      </c>
      <c r="D439" s="14" t="s">
        <v>426</v>
      </c>
      <c r="E439" s="1" t="s">
        <v>261</v>
      </c>
      <c r="G439" s="2">
        <v>2.08</v>
      </c>
      <c r="H439" s="3" t="s">
        <v>45</v>
      </c>
      <c r="I439" s="2">
        <f t="shared" si="8"/>
        <v>2122.9700000000034</v>
      </c>
      <c r="J439" s="6" t="s">
        <v>34</v>
      </c>
      <c r="K439" s="2"/>
      <c r="L439" s="16"/>
      <c r="M439" s="17"/>
    </row>
    <row r="440" spans="1:13" x14ac:dyDescent="0.25">
      <c r="A440" s="14">
        <v>387</v>
      </c>
      <c r="B440" s="14"/>
      <c r="C440" s="1">
        <v>43301</v>
      </c>
      <c r="D440" s="14" t="s">
        <v>461</v>
      </c>
      <c r="E440" s="1" t="s">
        <v>393</v>
      </c>
      <c r="G440" s="2">
        <v>3.45</v>
      </c>
      <c r="H440" s="3" t="s">
        <v>45</v>
      </c>
      <c r="I440" s="2">
        <f t="shared" si="8"/>
        <v>2119.5200000000036</v>
      </c>
      <c r="K440" s="2"/>
    </row>
    <row r="441" spans="1:13" x14ac:dyDescent="0.25">
      <c r="A441" s="14">
        <v>388</v>
      </c>
      <c r="B441" s="14"/>
      <c r="C441" s="1">
        <v>43301</v>
      </c>
      <c r="D441" s="14" t="s">
        <v>67</v>
      </c>
      <c r="E441" s="1" t="s">
        <v>499</v>
      </c>
      <c r="G441" s="2">
        <v>5.99</v>
      </c>
      <c r="H441" s="3" t="s">
        <v>45</v>
      </c>
      <c r="I441" s="2">
        <f t="shared" si="8"/>
        <v>2113.5300000000038</v>
      </c>
      <c r="K441" s="2"/>
    </row>
    <row r="442" spans="1:13" x14ac:dyDescent="0.25">
      <c r="A442" s="14">
        <v>389</v>
      </c>
      <c r="B442" s="14"/>
      <c r="C442" s="1">
        <v>43301</v>
      </c>
      <c r="D442" s="14" t="s">
        <v>11</v>
      </c>
      <c r="E442" s="1" t="s">
        <v>500</v>
      </c>
      <c r="G442" s="2">
        <v>6.84</v>
      </c>
      <c r="H442" s="3" t="s">
        <v>45</v>
      </c>
      <c r="I442" s="2">
        <f t="shared" si="8"/>
        <v>2106.6900000000037</v>
      </c>
      <c r="J442" s="6" t="s">
        <v>501</v>
      </c>
      <c r="K442" s="2"/>
    </row>
    <row r="443" spans="1:13" x14ac:dyDescent="0.25">
      <c r="A443" s="14">
        <v>390</v>
      </c>
      <c r="B443" s="14"/>
      <c r="C443" s="1">
        <v>43302</v>
      </c>
      <c r="D443" s="14" t="s">
        <v>11</v>
      </c>
      <c r="E443" s="1" t="s">
        <v>502</v>
      </c>
      <c r="G443" s="2">
        <v>26.87</v>
      </c>
      <c r="H443" s="3" t="s">
        <v>44</v>
      </c>
      <c r="I443" s="2">
        <f t="shared" si="8"/>
        <v>2079.8200000000038</v>
      </c>
      <c r="J443" s="6" t="s">
        <v>504</v>
      </c>
      <c r="K443" s="2"/>
    </row>
    <row r="444" spans="1:13" x14ac:dyDescent="0.25">
      <c r="A444" s="14">
        <v>391</v>
      </c>
      <c r="B444" s="14"/>
      <c r="C444" s="1">
        <v>43302</v>
      </c>
      <c r="D444" s="14" t="s">
        <v>11</v>
      </c>
      <c r="E444" s="1" t="s">
        <v>503</v>
      </c>
      <c r="G444" s="2">
        <v>6.97</v>
      </c>
      <c r="H444" s="3" t="s">
        <v>45</v>
      </c>
      <c r="I444" s="2">
        <f t="shared" si="8"/>
        <v>2072.850000000004</v>
      </c>
      <c r="J444" s="6" t="s">
        <v>504</v>
      </c>
      <c r="K444" s="2"/>
    </row>
    <row r="445" spans="1:13" x14ac:dyDescent="0.25">
      <c r="A445" s="14">
        <v>392</v>
      </c>
      <c r="B445" s="14"/>
      <c r="C445" s="1">
        <v>43302</v>
      </c>
      <c r="D445" s="14" t="s">
        <v>94</v>
      </c>
      <c r="E445" s="1" t="s">
        <v>165</v>
      </c>
      <c r="G445" s="2">
        <v>9.0299999999999994</v>
      </c>
      <c r="H445" s="3" t="s">
        <v>45</v>
      </c>
      <c r="I445" s="2">
        <f t="shared" si="8"/>
        <v>2063.8200000000038</v>
      </c>
      <c r="J445" s="6" t="s">
        <v>34</v>
      </c>
      <c r="K445" s="2"/>
      <c r="L445" s="16"/>
      <c r="M445" s="17"/>
    </row>
    <row r="446" spans="1:13" x14ac:dyDescent="0.25">
      <c r="A446" s="14">
        <v>393</v>
      </c>
      <c r="B446" s="14"/>
      <c r="C446" s="1">
        <v>43302</v>
      </c>
      <c r="D446" s="14" t="s">
        <v>490</v>
      </c>
      <c r="E446" s="1" t="s">
        <v>496</v>
      </c>
      <c r="G446" s="2">
        <v>8.92</v>
      </c>
      <c r="H446" s="3" t="s">
        <v>45</v>
      </c>
      <c r="I446" s="2">
        <f t="shared" si="8"/>
        <v>2054.9000000000037</v>
      </c>
    </row>
    <row r="447" spans="1:13" x14ac:dyDescent="0.25">
      <c r="A447" s="14">
        <v>394</v>
      </c>
      <c r="B447" s="14"/>
      <c r="C447" s="1">
        <v>43302</v>
      </c>
      <c r="D447" s="14" t="s">
        <v>15</v>
      </c>
      <c r="E447" s="1" t="s">
        <v>52</v>
      </c>
      <c r="G447" s="2">
        <v>2.89</v>
      </c>
      <c r="H447" s="3" t="s">
        <v>45</v>
      </c>
      <c r="I447" s="2">
        <f t="shared" si="8"/>
        <v>2052.0100000000039</v>
      </c>
    </row>
    <row r="448" spans="1:13" x14ac:dyDescent="0.25">
      <c r="A448" s="14">
        <v>395</v>
      </c>
      <c r="B448" s="14"/>
      <c r="C448" s="1">
        <v>43303</v>
      </c>
      <c r="D448" s="14" t="s">
        <v>506</v>
      </c>
      <c r="E448" s="1" t="s">
        <v>505</v>
      </c>
      <c r="G448" s="2">
        <v>2.46</v>
      </c>
      <c r="H448" s="3" t="s">
        <v>45</v>
      </c>
      <c r="I448" s="2">
        <f t="shared" si="8"/>
        <v>2049.5500000000038</v>
      </c>
    </row>
    <row r="449" spans="1:13" x14ac:dyDescent="0.25">
      <c r="A449" s="14">
        <v>396</v>
      </c>
      <c r="B449" s="14"/>
      <c r="C449" s="1">
        <v>43304</v>
      </c>
      <c r="D449" s="14" t="s">
        <v>489</v>
      </c>
      <c r="E449" s="1" t="s">
        <v>432</v>
      </c>
      <c r="G449" s="2">
        <v>6</v>
      </c>
      <c r="H449" s="3" t="s">
        <v>45</v>
      </c>
      <c r="I449" s="2">
        <f t="shared" si="8"/>
        <v>2043.5500000000038</v>
      </c>
    </row>
    <row r="450" spans="1:13" x14ac:dyDescent="0.25">
      <c r="A450" s="14">
        <v>397</v>
      </c>
      <c r="B450" s="14"/>
      <c r="C450" s="1">
        <v>43306</v>
      </c>
      <c r="D450" s="14" t="s">
        <v>194</v>
      </c>
      <c r="E450" s="1" t="s">
        <v>507</v>
      </c>
      <c r="G450" s="2">
        <v>2.35</v>
      </c>
      <c r="H450" s="3" t="s">
        <v>45</v>
      </c>
      <c r="I450" s="2">
        <f t="shared" si="8"/>
        <v>2041.2000000000039</v>
      </c>
    </row>
    <row r="451" spans="1:13" x14ac:dyDescent="0.25">
      <c r="A451" s="14">
        <v>398</v>
      </c>
      <c r="B451" s="14"/>
      <c r="C451" s="1">
        <v>43306</v>
      </c>
      <c r="D451" s="14" t="s">
        <v>96</v>
      </c>
      <c r="E451" s="1" t="s">
        <v>508</v>
      </c>
      <c r="G451" s="2">
        <v>9</v>
      </c>
      <c r="H451" s="3" t="s">
        <v>45</v>
      </c>
      <c r="I451" s="2">
        <f t="shared" si="8"/>
        <v>2032.2000000000039</v>
      </c>
    </row>
    <row r="452" spans="1:13" x14ac:dyDescent="0.25">
      <c r="A452" s="14">
        <v>399</v>
      </c>
      <c r="B452" s="14"/>
      <c r="C452" s="1">
        <v>43306</v>
      </c>
      <c r="D452" s="14" t="s">
        <v>490</v>
      </c>
      <c r="E452" s="1" t="s">
        <v>496</v>
      </c>
      <c r="G452" s="2">
        <v>8.92</v>
      </c>
      <c r="H452" s="3" t="s">
        <v>45</v>
      </c>
      <c r="I452" s="2">
        <f t="shared" si="8"/>
        <v>2023.2800000000038</v>
      </c>
    </row>
    <row r="453" spans="1:13" x14ac:dyDescent="0.25">
      <c r="A453" s="14">
        <v>400</v>
      </c>
      <c r="B453" s="14"/>
      <c r="C453" s="1">
        <v>43306</v>
      </c>
      <c r="D453" s="14" t="s">
        <v>67</v>
      </c>
      <c r="E453" s="1" t="s">
        <v>499</v>
      </c>
      <c r="G453" s="2">
        <v>5.99</v>
      </c>
      <c r="H453" s="3" t="s">
        <v>45</v>
      </c>
      <c r="I453" s="2">
        <f t="shared" si="8"/>
        <v>2017.2900000000038</v>
      </c>
    </row>
    <row r="454" spans="1:13" x14ac:dyDescent="0.25">
      <c r="A454" s="14">
        <v>401</v>
      </c>
      <c r="B454" s="14"/>
      <c r="C454" s="1">
        <v>43307</v>
      </c>
      <c r="D454" s="14" t="s">
        <v>506</v>
      </c>
      <c r="E454" s="1" t="s">
        <v>80</v>
      </c>
      <c r="G454" s="2">
        <v>3.55</v>
      </c>
      <c r="H454" s="3" t="s">
        <v>45</v>
      </c>
      <c r="I454" s="2">
        <f t="shared" si="8"/>
        <v>2013.7400000000039</v>
      </c>
    </row>
    <row r="455" spans="1:13" x14ac:dyDescent="0.25">
      <c r="A455" s="14">
        <v>402</v>
      </c>
      <c r="B455" s="14"/>
      <c r="C455" s="1">
        <v>43308</v>
      </c>
      <c r="D455" s="14" t="s">
        <v>96</v>
      </c>
      <c r="E455" s="1" t="s">
        <v>436</v>
      </c>
      <c r="G455" s="2">
        <v>3.15</v>
      </c>
      <c r="H455" s="3" t="s">
        <v>45</v>
      </c>
      <c r="I455" s="2">
        <f t="shared" si="8"/>
        <v>2010.5900000000038</v>
      </c>
    </row>
    <row r="456" spans="1:13" x14ac:dyDescent="0.25">
      <c r="A456" s="14">
        <v>403</v>
      </c>
      <c r="B456" s="14"/>
      <c r="C456" s="1">
        <v>43308</v>
      </c>
      <c r="D456" s="14" t="s">
        <v>506</v>
      </c>
      <c r="E456" s="1" t="s">
        <v>436</v>
      </c>
      <c r="G456" s="2">
        <v>1.46</v>
      </c>
      <c r="H456" s="3" t="s">
        <v>45</v>
      </c>
      <c r="I456" s="2">
        <f t="shared" si="8"/>
        <v>2009.1300000000037</v>
      </c>
      <c r="J456" s="6" t="s">
        <v>34</v>
      </c>
    </row>
    <row r="457" spans="1:13" x14ac:dyDescent="0.25">
      <c r="A457" s="14">
        <v>404</v>
      </c>
      <c r="B457" s="14"/>
      <c r="C457" s="1">
        <v>43309</v>
      </c>
      <c r="D457" s="14" t="s">
        <v>402</v>
      </c>
      <c r="E457" s="1" t="s">
        <v>509</v>
      </c>
      <c r="G457" s="2">
        <v>9.77</v>
      </c>
      <c r="H457" s="3" t="s">
        <v>17</v>
      </c>
      <c r="I457" s="2">
        <f t="shared" si="8"/>
        <v>1999.3600000000038</v>
      </c>
    </row>
    <row r="458" spans="1:13" x14ac:dyDescent="0.25">
      <c r="A458" s="14">
        <v>405</v>
      </c>
      <c r="B458" s="14"/>
      <c r="C458" s="1">
        <v>43309</v>
      </c>
      <c r="D458" s="14" t="s">
        <v>35</v>
      </c>
      <c r="E458" s="1" t="s">
        <v>510</v>
      </c>
      <c r="G458" s="2">
        <v>8.23</v>
      </c>
      <c r="H458" s="3" t="s">
        <v>45</v>
      </c>
      <c r="I458" s="2">
        <f t="shared" si="8"/>
        <v>1991.1300000000037</v>
      </c>
    </row>
    <row r="459" spans="1:13" x14ac:dyDescent="0.25">
      <c r="A459" s="14">
        <v>406</v>
      </c>
      <c r="B459" s="14"/>
      <c r="C459" s="1">
        <v>43309</v>
      </c>
      <c r="D459" s="14" t="s">
        <v>15</v>
      </c>
      <c r="E459" s="1" t="s">
        <v>511</v>
      </c>
      <c r="G459" s="2">
        <v>2.1</v>
      </c>
      <c r="H459" s="3" t="s">
        <v>45</v>
      </c>
      <c r="I459" s="2">
        <f t="shared" si="8"/>
        <v>1989.0300000000038</v>
      </c>
    </row>
    <row r="460" spans="1:13" x14ac:dyDescent="0.25">
      <c r="A460" s="14">
        <v>407</v>
      </c>
      <c r="B460" s="14"/>
      <c r="C460" s="1">
        <v>43309</v>
      </c>
      <c r="D460" s="14" t="s">
        <v>67</v>
      </c>
      <c r="E460" s="1" t="s">
        <v>499</v>
      </c>
      <c r="G460" s="2">
        <v>5.99</v>
      </c>
      <c r="H460" s="3" t="s">
        <v>45</v>
      </c>
      <c r="I460" s="2">
        <f t="shared" si="8"/>
        <v>1983.0400000000038</v>
      </c>
    </row>
    <row r="461" spans="1:13" x14ac:dyDescent="0.25">
      <c r="A461" s="14">
        <v>408</v>
      </c>
      <c r="B461" s="14"/>
      <c r="C461" s="1">
        <v>43310</v>
      </c>
      <c r="D461" s="14" t="s">
        <v>94</v>
      </c>
      <c r="E461" s="1" t="s">
        <v>165</v>
      </c>
      <c r="G461" s="2">
        <v>9.0299999999999994</v>
      </c>
      <c r="H461" s="3" t="s">
        <v>45</v>
      </c>
      <c r="I461" s="2">
        <f t="shared" si="8"/>
        <v>1974.0100000000039</v>
      </c>
      <c r="J461" s="6" t="s">
        <v>34</v>
      </c>
      <c r="K461" s="2"/>
      <c r="L461" s="19" t="s">
        <v>477</v>
      </c>
    </row>
    <row r="462" spans="1:13" x14ac:dyDescent="0.25">
      <c r="A462" s="14">
        <v>409</v>
      </c>
      <c r="B462" s="14"/>
      <c r="C462" s="1">
        <v>43311</v>
      </c>
      <c r="D462" s="14" t="s">
        <v>506</v>
      </c>
      <c r="E462" s="1" t="s">
        <v>512</v>
      </c>
      <c r="G462" s="2">
        <v>3.85</v>
      </c>
      <c r="H462" s="3" t="s">
        <v>45</v>
      </c>
      <c r="I462" s="2">
        <f t="shared" si="8"/>
        <v>1970.1600000000039</v>
      </c>
      <c r="K462" s="2"/>
      <c r="L462" s="2">
        <f>SUM(G413:G463)-G414</f>
        <v>1081.21</v>
      </c>
    </row>
    <row r="463" spans="1:13" x14ac:dyDescent="0.25">
      <c r="A463" s="14">
        <v>410</v>
      </c>
      <c r="B463" s="14"/>
      <c r="C463" s="1">
        <v>43311</v>
      </c>
      <c r="D463" s="14" t="s">
        <v>489</v>
      </c>
      <c r="E463" s="1" t="s">
        <v>432</v>
      </c>
      <c r="G463" s="2">
        <v>6</v>
      </c>
      <c r="H463" s="3" t="s">
        <v>45</v>
      </c>
      <c r="I463" s="2">
        <f t="shared" si="8"/>
        <v>1964.1600000000039</v>
      </c>
      <c r="L463" s="16">
        <f>L462/L12</f>
        <v>8.6617579552928647E-2</v>
      </c>
      <c r="M463" s="17"/>
    </row>
    <row r="464" spans="1:13" x14ac:dyDescent="0.25">
      <c r="A464" s="14"/>
      <c r="B464" s="14">
        <v>52</v>
      </c>
      <c r="C464" s="1">
        <v>43313</v>
      </c>
      <c r="D464" s="14" t="s">
        <v>11</v>
      </c>
      <c r="E464" s="1" t="s">
        <v>494</v>
      </c>
      <c r="F464" s="2">
        <v>76.67</v>
      </c>
      <c r="I464" s="2">
        <f t="shared" si="8"/>
        <v>2040.830000000004</v>
      </c>
      <c r="J464" s="6" t="s">
        <v>513</v>
      </c>
    </row>
    <row r="465" spans="1:13" x14ac:dyDescent="0.25">
      <c r="A465" s="14"/>
      <c r="B465" s="14">
        <v>53</v>
      </c>
      <c r="C465" s="1">
        <v>43313</v>
      </c>
      <c r="D465" s="14" t="s">
        <v>11</v>
      </c>
      <c r="E465" s="1" t="s">
        <v>140</v>
      </c>
      <c r="F465" s="2">
        <v>0.02</v>
      </c>
      <c r="I465" s="2">
        <f t="shared" si="8"/>
        <v>2040.850000000004</v>
      </c>
    </row>
    <row r="466" spans="1:13" x14ac:dyDescent="0.25">
      <c r="A466" s="14">
        <v>411</v>
      </c>
      <c r="B466" s="14"/>
      <c r="C466" s="1">
        <v>43313</v>
      </c>
      <c r="D466" s="14" t="s">
        <v>434</v>
      </c>
      <c r="E466" s="1" t="s">
        <v>339</v>
      </c>
      <c r="G466" s="2">
        <v>34.9</v>
      </c>
      <c r="H466" s="3" t="s">
        <v>46</v>
      </c>
      <c r="I466" s="2">
        <f t="shared" si="8"/>
        <v>2005.9500000000039</v>
      </c>
    </row>
    <row r="467" spans="1:13" x14ac:dyDescent="0.25">
      <c r="A467" s="14">
        <v>412</v>
      </c>
      <c r="B467" s="14"/>
      <c r="C467" s="1">
        <v>43314</v>
      </c>
      <c r="D467" s="14" t="s">
        <v>506</v>
      </c>
      <c r="E467" s="1" t="s">
        <v>515</v>
      </c>
      <c r="G467" s="2">
        <v>1.04</v>
      </c>
      <c r="H467" s="3" t="s">
        <v>45</v>
      </c>
      <c r="I467" s="2">
        <f t="shared" si="8"/>
        <v>2004.9100000000039</v>
      </c>
      <c r="J467" s="6" t="s">
        <v>34</v>
      </c>
    </row>
    <row r="468" spans="1:13" x14ac:dyDescent="0.25">
      <c r="A468" s="14"/>
      <c r="B468" s="14">
        <v>54</v>
      </c>
      <c r="C468" s="1">
        <v>43314</v>
      </c>
      <c r="D468" s="14" t="s">
        <v>11</v>
      </c>
      <c r="E468" s="1" t="s">
        <v>494</v>
      </c>
      <c r="F468" s="2">
        <v>76.67</v>
      </c>
      <c r="I468" s="2">
        <f t="shared" si="8"/>
        <v>2081.580000000004</v>
      </c>
      <c r="J468" s="6" t="s">
        <v>516</v>
      </c>
    </row>
    <row r="469" spans="1:13" x14ac:dyDescent="0.25">
      <c r="A469" s="14">
        <v>413</v>
      </c>
      <c r="B469" s="14"/>
      <c r="C469" s="1">
        <v>43314</v>
      </c>
      <c r="D469" s="14" t="s">
        <v>506</v>
      </c>
      <c r="E469" s="1" t="s">
        <v>517</v>
      </c>
      <c r="G469" s="2">
        <v>2.5</v>
      </c>
      <c r="H469" s="3" t="s">
        <v>45</v>
      </c>
      <c r="I469" s="2">
        <f t="shared" si="8"/>
        <v>2079.080000000004</v>
      </c>
      <c r="J469" s="6" t="s">
        <v>34</v>
      </c>
    </row>
    <row r="470" spans="1:13" x14ac:dyDescent="0.25">
      <c r="A470" s="14"/>
      <c r="B470" s="14">
        <v>55</v>
      </c>
      <c r="C470" s="1">
        <v>43314</v>
      </c>
      <c r="D470" s="14" t="s">
        <v>11</v>
      </c>
      <c r="E470" s="1" t="s">
        <v>494</v>
      </c>
      <c r="F470" s="2">
        <v>76.67</v>
      </c>
      <c r="I470" s="2">
        <f t="shared" si="8"/>
        <v>2155.7500000000041</v>
      </c>
      <c r="J470" s="6" t="s">
        <v>433</v>
      </c>
    </row>
    <row r="471" spans="1:13" x14ac:dyDescent="0.25">
      <c r="A471" s="14"/>
      <c r="B471" s="14">
        <v>56</v>
      </c>
      <c r="C471" s="1">
        <v>43315</v>
      </c>
      <c r="D471" s="14" t="s">
        <v>11</v>
      </c>
      <c r="E471" s="1" t="s">
        <v>82</v>
      </c>
      <c r="F471" s="2">
        <v>108.25</v>
      </c>
      <c r="I471" s="2">
        <f t="shared" si="8"/>
        <v>2264.0000000000041</v>
      </c>
    </row>
    <row r="472" spans="1:13" x14ac:dyDescent="0.25">
      <c r="A472" s="14">
        <v>414</v>
      </c>
      <c r="B472" s="14"/>
      <c r="C472" s="1">
        <v>43315</v>
      </c>
      <c r="D472" s="14" t="s">
        <v>490</v>
      </c>
      <c r="E472" s="1" t="s">
        <v>496</v>
      </c>
      <c r="G472" s="2">
        <v>8.92</v>
      </c>
      <c r="H472" s="3" t="s">
        <v>45</v>
      </c>
      <c r="I472" s="2">
        <f t="shared" si="8"/>
        <v>2255.080000000004</v>
      </c>
    </row>
    <row r="473" spans="1:13" x14ac:dyDescent="0.25">
      <c r="A473" s="14">
        <v>415</v>
      </c>
      <c r="B473" s="14"/>
      <c r="C473" s="1">
        <v>43315</v>
      </c>
      <c r="D473" s="14" t="s">
        <v>518</v>
      </c>
      <c r="E473" s="1" t="s">
        <v>519</v>
      </c>
      <c r="G473" s="2">
        <v>42.13</v>
      </c>
      <c r="H473" s="3" t="s">
        <v>45</v>
      </c>
      <c r="I473" s="2">
        <f t="shared" si="8"/>
        <v>2212.9500000000039</v>
      </c>
    </row>
    <row r="474" spans="1:13" x14ac:dyDescent="0.25">
      <c r="A474" s="14">
        <v>416</v>
      </c>
      <c r="B474" s="14"/>
      <c r="C474" s="1">
        <v>43316</v>
      </c>
      <c r="D474" s="14" t="s">
        <v>520</v>
      </c>
      <c r="E474" s="1" t="s">
        <v>521</v>
      </c>
      <c r="G474" s="2">
        <v>35</v>
      </c>
      <c r="H474" s="3" t="s">
        <v>46</v>
      </c>
      <c r="I474" s="2">
        <f t="shared" si="8"/>
        <v>2177.9500000000039</v>
      </c>
      <c r="K474" s="2"/>
      <c r="L474" s="16"/>
      <c r="M474" s="17"/>
    </row>
    <row r="475" spans="1:13" x14ac:dyDescent="0.25">
      <c r="A475" s="14"/>
      <c r="B475" s="14">
        <v>57</v>
      </c>
      <c r="C475" s="1">
        <v>43317</v>
      </c>
      <c r="D475" s="14" t="s">
        <v>11</v>
      </c>
      <c r="E475" s="1" t="s">
        <v>524</v>
      </c>
      <c r="F475" s="2">
        <v>19.170000000000002</v>
      </c>
      <c r="I475" s="2">
        <f t="shared" si="8"/>
        <v>2197.120000000004</v>
      </c>
      <c r="K475" s="2"/>
      <c r="L475" s="16"/>
      <c r="M475" s="17"/>
    </row>
    <row r="476" spans="1:13" x14ac:dyDescent="0.25">
      <c r="A476" s="14">
        <v>417</v>
      </c>
      <c r="B476" s="14"/>
      <c r="C476" s="1">
        <v>43317</v>
      </c>
      <c r="D476" s="14" t="s">
        <v>522</v>
      </c>
      <c r="E476" s="1" t="s">
        <v>523</v>
      </c>
      <c r="G476" s="2">
        <v>30.3</v>
      </c>
      <c r="H476" s="3" t="s">
        <v>251</v>
      </c>
      <c r="I476" s="2">
        <f t="shared" si="8"/>
        <v>2166.8200000000038</v>
      </c>
      <c r="K476" s="2"/>
      <c r="L476" s="16"/>
      <c r="M476" s="17"/>
    </row>
    <row r="477" spans="1:13" x14ac:dyDescent="0.25">
      <c r="A477" s="14">
        <v>418</v>
      </c>
      <c r="B477" s="14"/>
      <c r="C477" s="1">
        <v>43317</v>
      </c>
      <c r="D477" s="14" t="s">
        <v>525</v>
      </c>
      <c r="E477" s="1" t="s">
        <v>526</v>
      </c>
      <c r="G477" s="2">
        <v>14.95</v>
      </c>
      <c r="H477" s="3" t="s">
        <v>251</v>
      </c>
      <c r="I477" s="2">
        <f t="shared" si="8"/>
        <v>2151.870000000004</v>
      </c>
      <c r="K477" s="2"/>
      <c r="L477" s="16"/>
      <c r="M477" s="17"/>
    </row>
    <row r="478" spans="1:13" x14ac:dyDescent="0.25">
      <c r="A478" s="14">
        <v>419</v>
      </c>
      <c r="B478" s="14"/>
      <c r="C478" s="1">
        <v>43317</v>
      </c>
      <c r="D478" s="14" t="s">
        <v>527</v>
      </c>
      <c r="E478" s="1" t="s">
        <v>526</v>
      </c>
      <c r="G478" s="2">
        <v>15.95</v>
      </c>
      <c r="H478" s="3" t="s">
        <v>251</v>
      </c>
      <c r="I478" s="2">
        <f t="shared" si="8"/>
        <v>2135.9200000000042</v>
      </c>
      <c r="K478" s="2"/>
      <c r="L478" s="16"/>
      <c r="M478" s="17"/>
    </row>
    <row r="479" spans="1:13" x14ac:dyDescent="0.25">
      <c r="A479" s="14">
        <v>420</v>
      </c>
      <c r="B479" s="14"/>
      <c r="C479" s="1">
        <v>43317</v>
      </c>
      <c r="D479" s="14" t="s">
        <v>528</v>
      </c>
      <c r="E479" s="1" t="s">
        <v>529</v>
      </c>
      <c r="G479" s="2">
        <v>19</v>
      </c>
      <c r="H479" s="3" t="s">
        <v>45</v>
      </c>
      <c r="I479" s="2">
        <f t="shared" si="8"/>
        <v>2116.9200000000042</v>
      </c>
      <c r="K479" s="2"/>
      <c r="L479" s="16"/>
      <c r="M479" s="17"/>
    </row>
    <row r="480" spans="1:13" x14ac:dyDescent="0.25">
      <c r="A480" s="14">
        <v>421</v>
      </c>
      <c r="B480" s="14"/>
      <c r="C480" s="1">
        <v>43317</v>
      </c>
      <c r="D480" s="14" t="s">
        <v>7</v>
      </c>
      <c r="E480" s="1" t="s">
        <v>17</v>
      </c>
      <c r="G480" s="2">
        <v>119.53</v>
      </c>
      <c r="H480" s="3" t="s">
        <v>46</v>
      </c>
      <c r="I480" s="2">
        <f t="shared" si="8"/>
        <v>1997.3900000000042</v>
      </c>
      <c r="K480" s="2"/>
      <c r="L480" s="16"/>
      <c r="M480" s="17"/>
    </row>
    <row r="481" spans="1:13" x14ac:dyDescent="0.25">
      <c r="A481" s="14"/>
      <c r="B481" s="14">
        <v>58</v>
      </c>
      <c r="C481" s="1">
        <v>43318</v>
      </c>
      <c r="D481" s="14" t="s">
        <v>11</v>
      </c>
      <c r="E481" s="1" t="s">
        <v>494</v>
      </c>
      <c r="F481" s="2">
        <v>57.5</v>
      </c>
      <c r="I481" s="2">
        <f t="shared" si="8"/>
        <v>2054.890000000004</v>
      </c>
      <c r="J481" s="6" t="s">
        <v>540</v>
      </c>
      <c r="K481" s="2"/>
      <c r="L481" s="16"/>
      <c r="M481" s="17"/>
    </row>
    <row r="482" spans="1:13" x14ac:dyDescent="0.25">
      <c r="A482" s="14"/>
      <c r="B482" s="14">
        <v>59</v>
      </c>
      <c r="C482" s="1">
        <v>43318</v>
      </c>
      <c r="D482" s="14" t="s">
        <v>11</v>
      </c>
      <c r="E482" s="1" t="s">
        <v>494</v>
      </c>
      <c r="F482" s="2">
        <v>76.67</v>
      </c>
      <c r="I482" s="2">
        <f t="shared" si="8"/>
        <v>2131.560000000004</v>
      </c>
      <c r="J482" s="6" t="s">
        <v>541</v>
      </c>
      <c r="K482" s="2"/>
      <c r="L482" s="16"/>
      <c r="M482" s="17"/>
    </row>
    <row r="483" spans="1:13" x14ac:dyDescent="0.25">
      <c r="A483" s="14"/>
      <c r="B483" s="14">
        <v>60</v>
      </c>
      <c r="C483" s="1">
        <v>43318</v>
      </c>
      <c r="D483" s="14" t="s">
        <v>11</v>
      </c>
      <c r="E483" s="1" t="s">
        <v>494</v>
      </c>
      <c r="F483" s="2">
        <v>76.67</v>
      </c>
      <c r="I483" s="2">
        <f t="shared" si="8"/>
        <v>2208.2300000000041</v>
      </c>
      <c r="J483" s="6" t="s">
        <v>542</v>
      </c>
      <c r="K483" s="2"/>
      <c r="L483" s="16"/>
      <c r="M483" s="17"/>
    </row>
    <row r="484" spans="1:13" x14ac:dyDescent="0.25">
      <c r="A484" s="14">
        <v>422</v>
      </c>
      <c r="B484" s="14"/>
      <c r="C484" s="1">
        <v>43318</v>
      </c>
      <c r="D484" s="14" t="s">
        <v>11</v>
      </c>
      <c r="E484" s="1" t="s">
        <v>530</v>
      </c>
      <c r="G484" s="2">
        <v>60</v>
      </c>
      <c r="H484" s="3" t="s">
        <v>252</v>
      </c>
      <c r="I484" s="2">
        <f t="shared" si="8"/>
        <v>2148.2300000000041</v>
      </c>
      <c r="J484" s="6" t="s">
        <v>543</v>
      </c>
      <c r="K484" s="2"/>
      <c r="L484" s="16"/>
      <c r="M484" s="17"/>
    </row>
    <row r="485" spans="1:13" x14ac:dyDescent="0.25">
      <c r="A485" s="14">
        <v>423</v>
      </c>
      <c r="B485" s="14"/>
      <c r="C485" s="1">
        <v>43318</v>
      </c>
      <c r="D485" s="14" t="s">
        <v>96</v>
      </c>
      <c r="E485" s="1" t="s">
        <v>531</v>
      </c>
      <c r="G485" s="2">
        <v>6.43</v>
      </c>
      <c r="H485" s="3" t="s">
        <v>45</v>
      </c>
      <c r="I485" s="2">
        <f t="shared" si="8"/>
        <v>2141.8000000000043</v>
      </c>
      <c r="K485" s="2"/>
      <c r="L485" s="16"/>
      <c r="M485" s="17"/>
    </row>
    <row r="486" spans="1:13" x14ac:dyDescent="0.25">
      <c r="A486" s="14">
        <v>424</v>
      </c>
      <c r="B486" s="14"/>
      <c r="C486" s="1">
        <v>43318</v>
      </c>
      <c r="D486" s="14" t="s">
        <v>532</v>
      </c>
      <c r="E486" s="1" t="s">
        <v>533</v>
      </c>
      <c r="G486" s="2">
        <v>19.48</v>
      </c>
      <c r="H486" s="3" t="s">
        <v>45</v>
      </c>
      <c r="I486" s="2">
        <f t="shared" si="8"/>
        <v>2122.3200000000043</v>
      </c>
      <c r="K486" s="2"/>
      <c r="L486" s="16"/>
      <c r="M486" s="17"/>
    </row>
    <row r="487" spans="1:13" x14ac:dyDescent="0.25">
      <c r="A487" s="14">
        <v>425</v>
      </c>
      <c r="B487" s="14"/>
      <c r="C487" s="1">
        <v>43318</v>
      </c>
      <c r="D487" s="14" t="s">
        <v>534</v>
      </c>
      <c r="E487" s="1" t="s">
        <v>535</v>
      </c>
      <c r="G487" s="2">
        <v>542.57000000000005</v>
      </c>
      <c r="H487" s="3" t="s">
        <v>46</v>
      </c>
      <c r="I487" s="2">
        <f t="shared" si="8"/>
        <v>1579.7500000000041</v>
      </c>
    </row>
    <row r="488" spans="1:13" x14ac:dyDescent="0.25">
      <c r="A488" s="14">
        <v>426</v>
      </c>
      <c r="B488" s="14"/>
      <c r="C488" s="1">
        <v>43319</v>
      </c>
      <c r="D488" s="14" t="s">
        <v>96</v>
      </c>
      <c r="E488" s="1" t="s">
        <v>157</v>
      </c>
      <c r="G488" s="2">
        <v>6</v>
      </c>
      <c r="H488" s="3" t="s">
        <v>45</v>
      </c>
      <c r="I488" s="2">
        <f t="shared" si="8"/>
        <v>1573.7500000000041</v>
      </c>
    </row>
    <row r="489" spans="1:13" x14ac:dyDescent="0.25">
      <c r="A489" s="14">
        <v>427</v>
      </c>
      <c r="B489" s="14"/>
      <c r="C489" s="1">
        <v>43319</v>
      </c>
      <c r="D489" s="14" t="s">
        <v>536</v>
      </c>
      <c r="E489" s="1" t="s">
        <v>537</v>
      </c>
      <c r="G489" s="2">
        <v>50</v>
      </c>
      <c r="H489" s="3" t="s">
        <v>46</v>
      </c>
      <c r="I489" s="2">
        <f t="shared" si="8"/>
        <v>1523.7500000000041</v>
      </c>
    </row>
    <row r="490" spans="1:13" x14ac:dyDescent="0.25">
      <c r="A490" s="14">
        <v>428</v>
      </c>
      <c r="B490" s="14"/>
      <c r="C490" s="1">
        <v>43319</v>
      </c>
      <c r="D490" s="14" t="s">
        <v>544</v>
      </c>
      <c r="E490" s="1" t="s">
        <v>538</v>
      </c>
      <c r="G490" s="2">
        <v>5.17</v>
      </c>
      <c r="H490" s="3" t="s">
        <v>45</v>
      </c>
      <c r="I490" s="2">
        <f t="shared" si="8"/>
        <v>1518.580000000004</v>
      </c>
    </row>
    <row r="491" spans="1:13" x14ac:dyDescent="0.25">
      <c r="A491" s="14">
        <v>429</v>
      </c>
      <c r="B491" s="14"/>
      <c r="C491" s="1">
        <v>43319</v>
      </c>
      <c r="D491" s="14" t="s">
        <v>183</v>
      </c>
      <c r="E491" s="1" t="s">
        <v>539</v>
      </c>
      <c r="G491" s="2">
        <v>11</v>
      </c>
      <c r="H491" s="3" t="s">
        <v>45</v>
      </c>
      <c r="I491" s="2">
        <f t="shared" si="8"/>
        <v>1507.580000000004</v>
      </c>
      <c r="J491" s="6" t="s">
        <v>34</v>
      </c>
    </row>
    <row r="492" spans="1:13" x14ac:dyDescent="0.25">
      <c r="A492" s="14"/>
      <c r="B492" s="14">
        <v>61</v>
      </c>
      <c r="C492" s="1">
        <v>43322</v>
      </c>
      <c r="D492" s="14" t="s">
        <v>11</v>
      </c>
      <c r="E492" s="1" t="s">
        <v>487</v>
      </c>
      <c r="F492" s="2">
        <v>52.98</v>
      </c>
      <c r="I492" s="2">
        <f t="shared" si="8"/>
        <v>1560.560000000004</v>
      </c>
    </row>
    <row r="493" spans="1:13" x14ac:dyDescent="0.25">
      <c r="A493" s="14"/>
      <c r="B493" s="14">
        <v>62</v>
      </c>
      <c r="C493" s="1">
        <v>43322</v>
      </c>
      <c r="D493" s="14" t="s">
        <v>11</v>
      </c>
      <c r="E493" s="1" t="s">
        <v>493</v>
      </c>
      <c r="F493" s="2">
        <v>167.5</v>
      </c>
      <c r="I493" s="2">
        <f t="shared" si="8"/>
        <v>1728.060000000004</v>
      </c>
      <c r="J493" s="6" t="s">
        <v>143</v>
      </c>
    </row>
    <row r="494" spans="1:13" x14ac:dyDescent="0.25">
      <c r="A494" s="14"/>
      <c r="B494" s="14">
        <v>63</v>
      </c>
      <c r="C494" s="1">
        <v>43323</v>
      </c>
      <c r="D494" s="14" t="s">
        <v>11</v>
      </c>
      <c r="E494" s="1" t="s">
        <v>565</v>
      </c>
      <c r="F494" s="2">
        <v>186.76</v>
      </c>
      <c r="I494" s="2">
        <f t="shared" si="8"/>
        <v>1914.820000000004</v>
      </c>
    </row>
    <row r="495" spans="1:13" x14ac:dyDescent="0.25">
      <c r="A495" s="14"/>
      <c r="B495" s="14">
        <v>64</v>
      </c>
      <c r="C495" s="1">
        <v>43323</v>
      </c>
      <c r="D495" s="14" t="s">
        <v>11</v>
      </c>
      <c r="E495" s="1" t="s">
        <v>493</v>
      </c>
      <c r="F495" s="2">
        <v>114.52</v>
      </c>
      <c r="I495" s="2">
        <f t="shared" si="8"/>
        <v>2029.340000000004</v>
      </c>
      <c r="J495" s="6" t="s">
        <v>542</v>
      </c>
    </row>
    <row r="496" spans="1:13" x14ac:dyDescent="0.25">
      <c r="A496" s="14"/>
      <c r="B496" s="14">
        <v>65</v>
      </c>
      <c r="C496" s="1">
        <v>43323</v>
      </c>
      <c r="D496" s="14" t="s">
        <v>11</v>
      </c>
      <c r="E496" s="1" t="s">
        <v>493</v>
      </c>
      <c r="F496" s="2">
        <v>55.5</v>
      </c>
      <c r="I496" s="2">
        <f t="shared" si="8"/>
        <v>2084.8400000000038</v>
      </c>
      <c r="J496" s="6" t="s">
        <v>433</v>
      </c>
    </row>
    <row r="497" spans="1:13" x14ac:dyDescent="0.25">
      <c r="A497" s="14"/>
      <c r="B497" s="14">
        <v>66</v>
      </c>
      <c r="C497" s="1">
        <v>43323</v>
      </c>
      <c r="D497" s="14" t="s">
        <v>11</v>
      </c>
      <c r="E497" s="1" t="s">
        <v>493</v>
      </c>
      <c r="F497" s="2">
        <v>75.209999999999994</v>
      </c>
      <c r="I497" s="2">
        <f t="shared" si="8"/>
        <v>2160.0500000000038</v>
      </c>
      <c r="J497" s="6" t="s">
        <v>513</v>
      </c>
    </row>
    <row r="498" spans="1:13" x14ac:dyDescent="0.25">
      <c r="A498" s="14">
        <v>430</v>
      </c>
      <c r="B498" s="14"/>
      <c r="C498" s="1">
        <v>43323</v>
      </c>
      <c r="D498" s="14" t="s">
        <v>545</v>
      </c>
      <c r="E498" s="1" t="s">
        <v>546</v>
      </c>
      <c r="G498" s="2">
        <v>12.43</v>
      </c>
      <c r="H498" s="3" t="s">
        <v>46</v>
      </c>
      <c r="I498" s="2">
        <f t="shared" si="8"/>
        <v>2147.620000000004</v>
      </c>
    </row>
    <row r="499" spans="1:13" x14ac:dyDescent="0.25">
      <c r="A499" s="14">
        <v>431</v>
      </c>
      <c r="B499" s="14"/>
      <c r="C499" s="1">
        <v>43323</v>
      </c>
      <c r="D499" s="14" t="s">
        <v>547</v>
      </c>
      <c r="E499" s="1" t="s">
        <v>548</v>
      </c>
      <c r="G499" s="2">
        <v>24</v>
      </c>
      <c r="H499" s="3" t="s">
        <v>251</v>
      </c>
      <c r="I499" s="2">
        <f t="shared" si="8"/>
        <v>2123.620000000004</v>
      </c>
    </row>
    <row r="500" spans="1:13" x14ac:dyDescent="0.25">
      <c r="A500" s="14">
        <v>432</v>
      </c>
      <c r="B500" s="14"/>
      <c r="C500" s="1">
        <v>43324</v>
      </c>
      <c r="D500" s="14" t="s">
        <v>549</v>
      </c>
      <c r="E500" s="1" t="s">
        <v>550</v>
      </c>
      <c r="G500" s="2">
        <v>77.86</v>
      </c>
      <c r="H500" s="3" t="s">
        <v>46</v>
      </c>
      <c r="I500" s="2">
        <f t="shared" si="8"/>
        <v>2045.7600000000041</v>
      </c>
    </row>
    <row r="501" spans="1:13" x14ac:dyDescent="0.25">
      <c r="A501" s="14">
        <v>433</v>
      </c>
      <c r="B501" s="14"/>
      <c r="C501" s="1">
        <v>43324</v>
      </c>
      <c r="D501" s="14" t="s">
        <v>11</v>
      </c>
      <c r="E501" s="1" t="s">
        <v>475</v>
      </c>
      <c r="G501" s="2">
        <v>30</v>
      </c>
      <c r="H501" s="3" t="s">
        <v>46</v>
      </c>
      <c r="I501" s="2">
        <f t="shared" si="8"/>
        <v>2015.7600000000041</v>
      </c>
    </row>
    <row r="502" spans="1:13" x14ac:dyDescent="0.25">
      <c r="A502" s="14">
        <v>434</v>
      </c>
      <c r="B502" s="14"/>
      <c r="C502" s="1">
        <v>43327</v>
      </c>
      <c r="D502" s="14" t="s">
        <v>552</v>
      </c>
      <c r="E502" s="1" t="s">
        <v>553</v>
      </c>
      <c r="G502" s="2">
        <v>7.91</v>
      </c>
      <c r="H502" s="3" t="s">
        <v>45</v>
      </c>
      <c r="I502" s="2">
        <f t="shared" si="8"/>
        <v>2007.850000000004</v>
      </c>
    </row>
    <row r="503" spans="1:13" x14ac:dyDescent="0.25">
      <c r="A503" s="14">
        <v>435</v>
      </c>
      <c r="B503" s="14"/>
      <c r="C503" s="1">
        <v>43327</v>
      </c>
      <c r="D503" s="14" t="s">
        <v>554</v>
      </c>
      <c r="E503" s="1" t="s">
        <v>555</v>
      </c>
      <c r="G503" s="2">
        <v>22.6</v>
      </c>
      <c r="H503" s="3" t="s">
        <v>46</v>
      </c>
      <c r="I503" s="2">
        <f t="shared" si="8"/>
        <v>1985.2500000000041</v>
      </c>
      <c r="K503" s="2"/>
      <c r="L503" s="16"/>
      <c r="M503" s="17"/>
    </row>
    <row r="504" spans="1:13" x14ac:dyDescent="0.25">
      <c r="A504" s="14">
        <v>436</v>
      </c>
      <c r="B504" s="14"/>
      <c r="C504" s="1">
        <v>43327</v>
      </c>
      <c r="D504" s="14" t="s">
        <v>552</v>
      </c>
      <c r="E504" s="1" t="s">
        <v>556</v>
      </c>
      <c r="G504" s="2">
        <v>3.74</v>
      </c>
      <c r="H504" s="3" t="s">
        <v>45</v>
      </c>
      <c r="I504" s="2">
        <f t="shared" si="8"/>
        <v>1981.5100000000041</v>
      </c>
      <c r="K504" s="2"/>
      <c r="L504" s="16"/>
      <c r="M504" s="17"/>
    </row>
    <row r="505" spans="1:13" x14ac:dyDescent="0.25">
      <c r="A505" s="14">
        <v>437</v>
      </c>
      <c r="B505" s="14"/>
      <c r="C505" s="1">
        <v>43327</v>
      </c>
      <c r="D505" s="14" t="s">
        <v>557</v>
      </c>
      <c r="E505" s="1" t="s">
        <v>558</v>
      </c>
      <c r="G505" s="2">
        <v>7.13</v>
      </c>
      <c r="H505" s="3" t="s">
        <v>46</v>
      </c>
      <c r="I505" s="2">
        <f t="shared" si="8"/>
        <v>1974.380000000004</v>
      </c>
      <c r="K505" s="2"/>
      <c r="L505" s="16"/>
      <c r="M505" s="17"/>
    </row>
    <row r="506" spans="1:13" x14ac:dyDescent="0.25">
      <c r="A506" s="14">
        <v>438</v>
      </c>
      <c r="B506" s="14"/>
      <c r="C506" s="1">
        <v>43327</v>
      </c>
      <c r="D506" s="14" t="s">
        <v>559</v>
      </c>
      <c r="E506" s="1" t="s">
        <v>560</v>
      </c>
      <c r="G506" s="2">
        <v>18</v>
      </c>
      <c r="H506" s="3" t="s">
        <v>45</v>
      </c>
      <c r="I506" s="2">
        <f t="shared" si="8"/>
        <v>1956.380000000004</v>
      </c>
      <c r="J506" s="23" t="s">
        <v>551</v>
      </c>
      <c r="K506" s="2"/>
      <c r="L506" s="16"/>
      <c r="M506" s="17"/>
    </row>
    <row r="507" spans="1:13" x14ac:dyDescent="0.25">
      <c r="A507" s="14">
        <v>439</v>
      </c>
      <c r="B507" s="14"/>
      <c r="C507" s="1">
        <v>43329</v>
      </c>
      <c r="D507" s="14" t="s">
        <v>386</v>
      </c>
      <c r="E507" s="1" t="s">
        <v>561</v>
      </c>
      <c r="G507" s="2">
        <v>16.25</v>
      </c>
      <c r="H507" s="3" t="s">
        <v>45</v>
      </c>
      <c r="I507" s="2">
        <f t="shared" si="8"/>
        <v>1940.130000000004</v>
      </c>
      <c r="K507" s="2"/>
      <c r="L507" s="16"/>
      <c r="M507" s="17"/>
    </row>
    <row r="508" spans="1:13" x14ac:dyDescent="0.25">
      <c r="A508" s="14">
        <v>440</v>
      </c>
      <c r="B508" s="14"/>
      <c r="C508" s="1">
        <v>43329</v>
      </c>
      <c r="D508" s="14" t="s">
        <v>562</v>
      </c>
      <c r="E508" s="1" t="s">
        <v>315</v>
      </c>
      <c r="G508" s="2">
        <v>73.430000000000007</v>
      </c>
      <c r="H508" s="3" t="s">
        <v>251</v>
      </c>
      <c r="I508" s="2">
        <f t="shared" si="8"/>
        <v>1866.7000000000039</v>
      </c>
      <c r="K508" s="2"/>
      <c r="L508" s="16"/>
      <c r="M508" s="17"/>
    </row>
    <row r="509" spans="1:13" x14ac:dyDescent="0.25">
      <c r="A509" s="14">
        <v>441</v>
      </c>
      <c r="B509" s="14"/>
      <c r="C509" s="1">
        <v>43329</v>
      </c>
      <c r="D509" s="14" t="s">
        <v>563</v>
      </c>
      <c r="E509" s="1" t="s">
        <v>315</v>
      </c>
      <c r="G509" s="2">
        <v>162.69</v>
      </c>
      <c r="H509" s="3" t="s">
        <v>251</v>
      </c>
      <c r="I509" s="2">
        <f t="shared" si="8"/>
        <v>1704.0100000000039</v>
      </c>
      <c r="J509" s="23" t="s">
        <v>551</v>
      </c>
    </row>
    <row r="510" spans="1:13" x14ac:dyDescent="0.25">
      <c r="A510" s="14">
        <v>442</v>
      </c>
      <c r="B510" s="14"/>
      <c r="C510" s="1">
        <v>43329</v>
      </c>
      <c r="D510" s="14" t="s">
        <v>20</v>
      </c>
      <c r="E510" s="1" t="s">
        <v>564</v>
      </c>
      <c r="G510" s="2">
        <v>7.42</v>
      </c>
      <c r="H510" s="3" t="s">
        <v>45</v>
      </c>
      <c r="I510" s="2">
        <f t="shared" si="8"/>
        <v>1696.5900000000038</v>
      </c>
    </row>
    <row r="511" spans="1:13" x14ac:dyDescent="0.25">
      <c r="A511" s="14"/>
      <c r="B511" s="14">
        <v>67</v>
      </c>
      <c r="C511" s="1">
        <v>43330</v>
      </c>
      <c r="D511" s="14" t="s">
        <v>11</v>
      </c>
      <c r="E511" s="1" t="s">
        <v>493</v>
      </c>
      <c r="F511" s="2">
        <v>82.69</v>
      </c>
      <c r="I511" s="2">
        <f t="shared" si="8"/>
        <v>1779.2800000000038</v>
      </c>
      <c r="J511" s="6" t="s">
        <v>540</v>
      </c>
    </row>
    <row r="512" spans="1:13" x14ac:dyDescent="0.25">
      <c r="A512" s="14">
        <v>443</v>
      </c>
      <c r="B512" s="14"/>
      <c r="C512" s="1">
        <v>43330</v>
      </c>
      <c r="D512" s="14" t="s">
        <v>566</v>
      </c>
      <c r="E512" s="1" t="s">
        <v>567</v>
      </c>
      <c r="G512" s="2">
        <v>37</v>
      </c>
      <c r="H512" s="3" t="s">
        <v>45</v>
      </c>
      <c r="I512" s="2">
        <f t="shared" si="8"/>
        <v>1742.2800000000038</v>
      </c>
    </row>
    <row r="513" spans="1:13" x14ac:dyDescent="0.25">
      <c r="A513" s="14">
        <v>444</v>
      </c>
      <c r="B513" s="14"/>
      <c r="C513" s="1">
        <v>43330</v>
      </c>
      <c r="D513" s="14" t="s">
        <v>569</v>
      </c>
      <c r="E513" s="1" t="s">
        <v>568</v>
      </c>
      <c r="G513" s="2">
        <v>38</v>
      </c>
      <c r="H513" s="3" t="s">
        <v>251</v>
      </c>
      <c r="I513" s="2">
        <f t="shared" si="8"/>
        <v>1704.2800000000038</v>
      </c>
      <c r="K513" s="2"/>
      <c r="L513" s="16"/>
      <c r="M513" s="17"/>
    </row>
    <row r="514" spans="1:13" x14ac:dyDescent="0.25">
      <c r="A514" s="14">
        <v>445</v>
      </c>
      <c r="B514" s="14"/>
      <c r="C514" s="1">
        <v>43330</v>
      </c>
      <c r="D514" s="14" t="s">
        <v>475</v>
      </c>
      <c r="E514" s="1" t="s">
        <v>568</v>
      </c>
      <c r="G514" s="2">
        <v>20</v>
      </c>
      <c r="H514" s="3" t="s">
        <v>251</v>
      </c>
      <c r="I514" s="2">
        <f t="shared" si="8"/>
        <v>1684.2800000000038</v>
      </c>
      <c r="K514" s="2"/>
      <c r="L514" s="16"/>
      <c r="M514" s="17"/>
    </row>
    <row r="515" spans="1:13" x14ac:dyDescent="0.25">
      <c r="A515" s="14">
        <v>446</v>
      </c>
      <c r="B515" s="14"/>
      <c r="C515" s="1">
        <v>43330</v>
      </c>
      <c r="D515" s="14" t="s">
        <v>20</v>
      </c>
      <c r="E515" s="1" t="s">
        <v>570</v>
      </c>
      <c r="G515" s="2">
        <v>3.97</v>
      </c>
      <c r="H515" s="3" t="s">
        <v>45</v>
      </c>
      <c r="I515" s="2">
        <f t="shared" si="8"/>
        <v>1680.3100000000038</v>
      </c>
      <c r="K515" s="2"/>
      <c r="L515" s="16"/>
      <c r="M515" s="17"/>
    </row>
    <row r="516" spans="1:13" x14ac:dyDescent="0.25">
      <c r="A516" s="14">
        <v>447</v>
      </c>
      <c r="B516" s="14"/>
      <c r="C516" s="1">
        <v>43330</v>
      </c>
      <c r="D516" s="14" t="s">
        <v>192</v>
      </c>
      <c r="E516" s="1" t="s">
        <v>192</v>
      </c>
      <c r="G516" s="2">
        <v>18.38</v>
      </c>
      <c r="H516" s="3" t="s">
        <v>245</v>
      </c>
      <c r="I516" s="2">
        <f t="shared" si="8"/>
        <v>1661.9300000000037</v>
      </c>
      <c r="K516" s="2"/>
      <c r="L516" s="16"/>
      <c r="M516" s="17"/>
    </row>
    <row r="517" spans="1:13" x14ac:dyDescent="0.25">
      <c r="A517" s="14"/>
      <c r="B517" s="14">
        <v>68</v>
      </c>
      <c r="C517" s="1">
        <v>43333</v>
      </c>
      <c r="D517" s="14" t="s">
        <v>11</v>
      </c>
      <c r="E517" s="1" t="s">
        <v>493</v>
      </c>
      <c r="F517" s="2">
        <v>107.47</v>
      </c>
      <c r="I517" s="2">
        <f t="shared" si="8"/>
        <v>1769.4000000000037</v>
      </c>
      <c r="J517" s="6" t="s">
        <v>541</v>
      </c>
    </row>
    <row r="518" spans="1:13" x14ac:dyDescent="0.25">
      <c r="A518" s="14">
        <v>448</v>
      </c>
      <c r="B518" s="14"/>
      <c r="C518" s="1">
        <v>43333</v>
      </c>
      <c r="D518" s="14" t="s">
        <v>11</v>
      </c>
      <c r="E518" s="1" t="s">
        <v>571</v>
      </c>
      <c r="G518" s="2">
        <v>42.76</v>
      </c>
      <c r="H518" s="3" t="s">
        <v>46</v>
      </c>
      <c r="I518" s="2">
        <f t="shared" ref="I518:I581" si="9">(I517+F518-G518)</f>
        <v>1726.6400000000037</v>
      </c>
      <c r="J518" s="6" t="s">
        <v>572</v>
      </c>
    </row>
    <row r="519" spans="1:13" x14ac:dyDescent="0.25">
      <c r="A519" s="14">
        <v>449</v>
      </c>
      <c r="B519" s="14"/>
      <c r="C519" s="1">
        <v>43333</v>
      </c>
      <c r="D519" s="14" t="s">
        <v>11</v>
      </c>
      <c r="E519" s="1" t="s">
        <v>571</v>
      </c>
      <c r="G519" s="2">
        <v>20.84</v>
      </c>
      <c r="H519" s="3" t="s">
        <v>245</v>
      </c>
      <c r="I519" s="2">
        <f t="shared" si="9"/>
        <v>1705.8000000000038</v>
      </c>
      <c r="J519" s="6" t="s">
        <v>573</v>
      </c>
    </row>
    <row r="520" spans="1:13" x14ac:dyDescent="0.25">
      <c r="A520" s="14">
        <v>450</v>
      </c>
      <c r="B520" s="14"/>
      <c r="C520" s="1">
        <v>43333</v>
      </c>
      <c r="D520" s="14" t="s">
        <v>574</v>
      </c>
      <c r="E520" s="1" t="s">
        <v>575</v>
      </c>
      <c r="G520" s="2">
        <v>5.68</v>
      </c>
      <c r="H520" s="3" t="s">
        <v>45</v>
      </c>
      <c r="I520" s="2">
        <f t="shared" si="9"/>
        <v>1700.1200000000038</v>
      </c>
      <c r="J520" s="23" t="s">
        <v>551</v>
      </c>
    </row>
    <row r="521" spans="1:13" x14ac:dyDescent="0.25">
      <c r="A521" s="14">
        <v>451</v>
      </c>
      <c r="B521" s="14"/>
      <c r="C521" s="1">
        <v>43333</v>
      </c>
      <c r="D521" s="14" t="s">
        <v>151</v>
      </c>
      <c r="E521" s="1" t="s">
        <v>575</v>
      </c>
      <c r="G521" s="2">
        <v>11.81</v>
      </c>
      <c r="H521" s="3" t="s">
        <v>45</v>
      </c>
      <c r="I521" s="2">
        <f t="shared" si="9"/>
        <v>1688.3100000000038</v>
      </c>
      <c r="J521" s="23" t="s">
        <v>551</v>
      </c>
    </row>
    <row r="522" spans="1:13" x14ac:dyDescent="0.25">
      <c r="A522" s="14">
        <v>452</v>
      </c>
      <c r="B522" s="14"/>
      <c r="C522" s="1">
        <v>43333</v>
      </c>
      <c r="D522" s="14" t="s">
        <v>11</v>
      </c>
      <c r="E522" s="1" t="s">
        <v>576</v>
      </c>
      <c r="G522" s="2">
        <v>54</v>
      </c>
      <c r="H522" s="3" t="s">
        <v>46</v>
      </c>
      <c r="I522" s="2">
        <f t="shared" si="9"/>
        <v>1634.3100000000038</v>
      </c>
      <c r="J522" s="23" t="s">
        <v>551</v>
      </c>
    </row>
    <row r="523" spans="1:13" x14ac:dyDescent="0.25">
      <c r="A523" s="14">
        <v>453</v>
      </c>
      <c r="B523" s="14"/>
      <c r="C523" s="1">
        <v>43334</v>
      </c>
      <c r="D523" s="14" t="s">
        <v>224</v>
      </c>
      <c r="E523" s="1" t="s">
        <v>105</v>
      </c>
      <c r="G523" s="2">
        <v>30</v>
      </c>
      <c r="H523" s="3" t="s">
        <v>245</v>
      </c>
      <c r="I523" s="2">
        <f t="shared" si="9"/>
        <v>1604.3100000000038</v>
      </c>
      <c r="J523" s="23" t="s">
        <v>551</v>
      </c>
      <c r="L523" s="19" t="s">
        <v>514</v>
      </c>
    </row>
    <row r="524" spans="1:13" x14ac:dyDescent="0.25">
      <c r="A524" s="14">
        <v>454</v>
      </c>
      <c r="B524" s="14"/>
      <c r="C524" s="1">
        <v>43334</v>
      </c>
      <c r="D524" s="14" t="s">
        <v>577</v>
      </c>
      <c r="E524" s="1" t="s">
        <v>578</v>
      </c>
      <c r="G524" s="2">
        <v>38</v>
      </c>
      <c r="H524" s="3" t="s">
        <v>45</v>
      </c>
      <c r="I524" s="2">
        <f t="shared" si="9"/>
        <v>1566.3100000000038</v>
      </c>
      <c r="J524" s="23" t="s">
        <v>551</v>
      </c>
      <c r="L524" s="2">
        <f>SUM(G464:G587)</f>
        <v>1817.7500000000002</v>
      </c>
    </row>
    <row r="525" spans="1:13" x14ac:dyDescent="0.25">
      <c r="A525" s="14">
        <v>455</v>
      </c>
      <c r="B525" s="14"/>
      <c r="C525" s="1">
        <v>43334</v>
      </c>
      <c r="D525" s="14" t="s">
        <v>151</v>
      </c>
      <c r="E525" s="1" t="s">
        <v>159</v>
      </c>
      <c r="G525" s="2">
        <v>8.98</v>
      </c>
      <c r="H525" s="3" t="s">
        <v>45</v>
      </c>
      <c r="I525" s="2">
        <f t="shared" si="9"/>
        <v>1557.3300000000038</v>
      </c>
      <c r="J525" s="23" t="s">
        <v>551</v>
      </c>
      <c r="K525" s="2">
        <f>SUMIF(J:J,"credit",G:G)</f>
        <v>329.16</v>
      </c>
      <c r="L525" s="16">
        <f>L524/L12</f>
        <v>0.14562305679038862</v>
      </c>
      <c r="M525" s="17">
        <f>SUM(L525,L463,L412,L339,L294,L258,L232,L205,L185,L140,L85,L44)</f>
        <v>1.0000000000000002</v>
      </c>
    </row>
    <row r="526" spans="1:13" x14ac:dyDescent="0.25">
      <c r="A526" s="14"/>
      <c r="B526" s="14"/>
      <c r="C526" s="1"/>
      <c r="D526" s="14"/>
      <c r="E526" s="1"/>
      <c r="I526" s="2">
        <f t="shared" si="9"/>
        <v>1557.3300000000038</v>
      </c>
      <c r="K526" s="2"/>
      <c r="L526" s="16"/>
      <c r="M526" s="17"/>
    </row>
    <row r="527" spans="1:13" x14ac:dyDescent="0.25">
      <c r="A527" s="14"/>
      <c r="B527" s="14"/>
      <c r="C527" s="1"/>
      <c r="D527" s="14"/>
      <c r="E527" s="1"/>
      <c r="I527" s="2">
        <f t="shared" si="9"/>
        <v>1557.3300000000038</v>
      </c>
      <c r="K527" s="2"/>
      <c r="L527" s="16"/>
      <c r="M527" s="17"/>
    </row>
    <row r="528" spans="1:13" x14ac:dyDescent="0.25">
      <c r="A528" s="14"/>
      <c r="B528" s="14"/>
      <c r="C528" s="1"/>
      <c r="D528" s="14"/>
      <c r="E528" s="1"/>
      <c r="I528" s="2">
        <f t="shared" si="9"/>
        <v>1557.3300000000038</v>
      </c>
      <c r="K528" s="2"/>
      <c r="L528" s="16"/>
      <c r="M528" s="17"/>
    </row>
    <row r="529" spans="1:13" x14ac:dyDescent="0.25">
      <c r="A529" s="14"/>
      <c r="B529" s="14"/>
      <c r="C529" s="1"/>
      <c r="D529" s="14"/>
      <c r="E529" s="1"/>
      <c r="I529" s="2">
        <f t="shared" si="9"/>
        <v>1557.3300000000038</v>
      </c>
      <c r="K529" s="2"/>
      <c r="L529" s="16"/>
      <c r="M529" s="17"/>
    </row>
    <row r="530" spans="1:13" x14ac:dyDescent="0.25">
      <c r="A530" s="14"/>
      <c r="B530" s="14"/>
      <c r="C530" s="1"/>
      <c r="D530" s="14"/>
      <c r="E530" s="1"/>
      <c r="I530" s="2">
        <f t="shared" si="9"/>
        <v>1557.3300000000038</v>
      </c>
      <c r="K530" s="2"/>
      <c r="L530" s="16"/>
      <c r="M530" s="17"/>
    </row>
    <row r="531" spans="1:13" x14ac:dyDescent="0.25">
      <c r="A531" s="14"/>
      <c r="B531" s="14"/>
      <c r="C531" s="1"/>
      <c r="D531" s="14"/>
      <c r="E531" s="1"/>
      <c r="I531" s="2">
        <f t="shared" si="9"/>
        <v>1557.3300000000038</v>
      </c>
      <c r="K531" s="2"/>
      <c r="L531" s="16"/>
      <c r="M531" s="17"/>
    </row>
    <row r="532" spans="1:13" x14ac:dyDescent="0.25">
      <c r="A532" s="14"/>
      <c r="B532" s="14"/>
      <c r="C532" s="1"/>
      <c r="D532" s="14"/>
      <c r="E532" s="1"/>
      <c r="I532" s="2">
        <f t="shared" si="9"/>
        <v>1557.3300000000038</v>
      </c>
      <c r="K532" s="2"/>
      <c r="L532" s="16"/>
      <c r="M532" s="17"/>
    </row>
    <row r="533" spans="1:13" x14ac:dyDescent="0.25">
      <c r="A533" s="14"/>
      <c r="B533" s="14"/>
      <c r="C533" s="1"/>
      <c r="D533" s="14"/>
      <c r="E533" s="1"/>
      <c r="I533" s="2">
        <f t="shared" si="9"/>
        <v>1557.3300000000038</v>
      </c>
      <c r="K533" s="2"/>
      <c r="L533" s="16"/>
      <c r="M533" s="17"/>
    </row>
    <row r="534" spans="1:13" x14ac:dyDescent="0.25">
      <c r="A534" s="14"/>
      <c r="B534" s="14"/>
      <c r="C534" s="1"/>
      <c r="D534" s="14"/>
      <c r="E534" s="1"/>
      <c r="I534" s="2">
        <f t="shared" si="9"/>
        <v>1557.3300000000038</v>
      </c>
      <c r="K534" s="2"/>
      <c r="L534" s="16"/>
      <c r="M534" s="17"/>
    </row>
    <row r="535" spans="1:13" x14ac:dyDescent="0.25">
      <c r="A535" s="14"/>
      <c r="B535" s="14"/>
      <c r="C535" s="1"/>
      <c r="D535" s="14"/>
      <c r="E535" s="1"/>
      <c r="I535" s="2">
        <f t="shared" si="9"/>
        <v>1557.3300000000038</v>
      </c>
      <c r="K535" s="2"/>
      <c r="L535" s="16"/>
      <c r="M535" s="17"/>
    </row>
    <row r="536" spans="1:13" x14ac:dyDescent="0.25">
      <c r="A536" s="14"/>
      <c r="B536" s="14"/>
      <c r="C536" s="1"/>
      <c r="D536" s="14"/>
      <c r="E536" s="1"/>
      <c r="I536" s="2">
        <f t="shared" si="9"/>
        <v>1557.3300000000038</v>
      </c>
      <c r="K536" s="2"/>
      <c r="L536" s="16"/>
      <c r="M536" s="17"/>
    </row>
    <row r="537" spans="1:13" x14ac:dyDescent="0.25">
      <c r="A537" s="14"/>
      <c r="B537" s="14"/>
      <c r="C537" s="1"/>
      <c r="D537" s="14"/>
      <c r="E537" s="1"/>
      <c r="I537" s="2">
        <f t="shared" si="9"/>
        <v>1557.3300000000038</v>
      </c>
      <c r="K537" s="2"/>
      <c r="L537" s="16"/>
      <c r="M537" s="17"/>
    </row>
    <row r="538" spans="1:13" x14ac:dyDescent="0.25">
      <c r="A538" s="14"/>
      <c r="B538" s="14"/>
      <c r="C538" s="1"/>
      <c r="D538" s="14"/>
      <c r="E538" s="1"/>
      <c r="I538" s="2">
        <f t="shared" si="9"/>
        <v>1557.3300000000038</v>
      </c>
      <c r="K538" s="2"/>
      <c r="L538" s="16"/>
      <c r="M538" s="17"/>
    </row>
    <row r="539" spans="1:13" x14ac:dyDescent="0.25">
      <c r="A539" s="14"/>
      <c r="B539" s="14"/>
      <c r="C539" s="1"/>
      <c r="D539" s="14"/>
      <c r="E539" s="1"/>
      <c r="I539" s="2">
        <f t="shared" si="9"/>
        <v>1557.3300000000038</v>
      </c>
      <c r="K539" s="2"/>
      <c r="L539" s="16"/>
      <c r="M539" s="17"/>
    </row>
    <row r="540" spans="1:13" x14ac:dyDescent="0.25">
      <c r="A540" s="14"/>
      <c r="B540" s="14"/>
      <c r="C540" s="1"/>
      <c r="D540" s="14"/>
      <c r="E540" s="1"/>
      <c r="I540" s="2">
        <f t="shared" si="9"/>
        <v>1557.3300000000038</v>
      </c>
      <c r="K540" s="2"/>
      <c r="L540" s="16"/>
      <c r="M540" s="17"/>
    </row>
    <row r="541" spans="1:13" x14ac:dyDescent="0.25">
      <c r="A541" s="14"/>
      <c r="B541" s="14"/>
      <c r="C541" s="1"/>
      <c r="D541" s="14"/>
      <c r="E541" s="1"/>
      <c r="I541" s="2">
        <f t="shared" si="9"/>
        <v>1557.3300000000038</v>
      </c>
      <c r="K541" s="2"/>
      <c r="L541" s="16"/>
      <c r="M541" s="17"/>
    </row>
    <row r="542" spans="1:13" x14ac:dyDescent="0.25">
      <c r="A542" s="14"/>
      <c r="B542" s="14"/>
      <c r="C542" s="1"/>
      <c r="D542" s="14"/>
      <c r="E542" s="1"/>
      <c r="I542" s="2">
        <f t="shared" si="9"/>
        <v>1557.3300000000038</v>
      </c>
      <c r="K542" s="2"/>
      <c r="L542" s="16"/>
      <c r="M542" s="17"/>
    </row>
    <row r="543" spans="1:13" x14ac:dyDescent="0.25">
      <c r="A543" s="14"/>
      <c r="B543" s="14"/>
      <c r="C543" s="1"/>
      <c r="D543" s="14"/>
      <c r="E543" s="1"/>
      <c r="I543" s="2">
        <f t="shared" si="9"/>
        <v>1557.3300000000038</v>
      </c>
      <c r="K543" s="2"/>
      <c r="L543" s="16"/>
      <c r="M543" s="17"/>
    </row>
    <row r="544" spans="1:13" x14ac:dyDescent="0.25">
      <c r="A544" s="14"/>
      <c r="B544" s="14"/>
      <c r="C544" s="1"/>
      <c r="D544" s="14"/>
      <c r="E544" s="1"/>
      <c r="I544" s="2">
        <f t="shared" si="9"/>
        <v>1557.3300000000038</v>
      </c>
      <c r="K544" s="2"/>
      <c r="L544" s="16"/>
      <c r="M544" s="17"/>
    </row>
    <row r="545" spans="1:13" x14ac:dyDescent="0.25">
      <c r="A545" s="14"/>
      <c r="B545" s="14"/>
      <c r="C545" s="1"/>
      <c r="D545" s="14"/>
      <c r="E545" s="1"/>
      <c r="I545" s="2">
        <f t="shared" si="9"/>
        <v>1557.3300000000038</v>
      </c>
      <c r="K545" s="2"/>
      <c r="L545" s="16"/>
      <c r="M545" s="17"/>
    </row>
    <row r="546" spans="1:13" x14ac:dyDescent="0.25">
      <c r="A546" s="14"/>
      <c r="B546" s="14"/>
      <c r="C546" s="1"/>
      <c r="D546" s="14"/>
      <c r="E546" s="1"/>
      <c r="I546" s="2">
        <f t="shared" si="9"/>
        <v>1557.3300000000038</v>
      </c>
      <c r="K546" s="2"/>
      <c r="L546" s="16"/>
      <c r="M546" s="17"/>
    </row>
    <row r="547" spans="1:13" x14ac:dyDescent="0.25">
      <c r="A547" s="14"/>
      <c r="B547" s="14"/>
      <c r="C547" s="1"/>
      <c r="D547" s="14"/>
      <c r="E547" s="1"/>
      <c r="I547" s="2">
        <f t="shared" si="9"/>
        <v>1557.3300000000038</v>
      </c>
      <c r="K547" s="2"/>
      <c r="L547" s="16"/>
      <c r="M547" s="17"/>
    </row>
    <row r="548" spans="1:13" x14ac:dyDescent="0.25">
      <c r="A548" s="14"/>
      <c r="B548" s="14"/>
      <c r="C548" s="1"/>
      <c r="D548" s="14"/>
      <c r="E548" s="1"/>
      <c r="I548" s="2">
        <f t="shared" si="9"/>
        <v>1557.3300000000038</v>
      </c>
      <c r="K548" s="2"/>
      <c r="L548" s="16"/>
      <c r="M548" s="17"/>
    </row>
    <row r="549" spans="1:13" x14ac:dyDescent="0.25">
      <c r="A549" s="14"/>
      <c r="B549" s="14"/>
      <c r="C549" s="1"/>
      <c r="D549" s="14"/>
      <c r="E549" s="1"/>
      <c r="I549" s="2">
        <f t="shared" si="9"/>
        <v>1557.3300000000038</v>
      </c>
      <c r="K549" s="2"/>
      <c r="L549" s="16"/>
      <c r="M549" s="17"/>
    </row>
    <row r="550" spans="1:13" x14ac:dyDescent="0.25">
      <c r="A550" s="14"/>
      <c r="B550" s="14"/>
      <c r="C550" s="1"/>
      <c r="D550" s="14"/>
      <c r="E550" s="1"/>
      <c r="I550" s="2">
        <f t="shared" si="9"/>
        <v>1557.3300000000038</v>
      </c>
      <c r="K550" s="2"/>
      <c r="L550" s="16"/>
      <c r="M550" s="17"/>
    </row>
    <row r="551" spans="1:13" x14ac:dyDescent="0.25">
      <c r="A551" s="14"/>
      <c r="B551" s="14"/>
      <c r="C551" s="1"/>
      <c r="D551" s="14"/>
      <c r="E551" s="1"/>
      <c r="I551" s="2">
        <f t="shared" si="9"/>
        <v>1557.3300000000038</v>
      </c>
      <c r="K551" s="2"/>
      <c r="L551" s="16"/>
      <c r="M551" s="17"/>
    </row>
    <row r="552" spans="1:13" x14ac:dyDescent="0.25">
      <c r="A552" s="14"/>
      <c r="B552" s="14"/>
      <c r="C552" s="1"/>
      <c r="D552" s="14"/>
      <c r="E552" s="1"/>
      <c r="I552" s="2">
        <f t="shared" si="9"/>
        <v>1557.3300000000038</v>
      </c>
      <c r="K552" s="2"/>
      <c r="L552" s="16"/>
      <c r="M552" s="17"/>
    </row>
    <row r="553" spans="1:13" x14ac:dyDescent="0.25">
      <c r="A553" s="14"/>
      <c r="B553" s="14"/>
      <c r="C553" s="1"/>
      <c r="D553" s="14"/>
      <c r="E553" s="1"/>
      <c r="I553" s="2">
        <f t="shared" si="9"/>
        <v>1557.3300000000038</v>
      </c>
      <c r="K553" s="2"/>
      <c r="L553" s="16"/>
      <c r="M553" s="17"/>
    </row>
    <row r="554" spans="1:13" x14ac:dyDescent="0.25">
      <c r="A554" s="14"/>
      <c r="B554" s="14"/>
      <c r="C554" s="1"/>
      <c r="D554" s="14"/>
      <c r="E554" s="1"/>
      <c r="I554" s="2">
        <f t="shared" si="9"/>
        <v>1557.3300000000038</v>
      </c>
      <c r="K554" s="2"/>
      <c r="L554" s="16"/>
      <c r="M554" s="17"/>
    </row>
    <row r="555" spans="1:13" x14ac:dyDescent="0.25">
      <c r="A555" s="14"/>
      <c r="B555" s="14"/>
      <c r="C555" s="1"/>
      <c r="D555" s="14"/>
      <c r="E555" s="1"/>
      <c r="I555" s="2">
        <f t="shared" si="9"/>
        <v>1557.3300000000038</v>
      </c>
      <c r="K555" s="2"/>
      <c r="L555" s="16"/>
      <c r="M555" s="17"/>
    </row>
    <row r="556" spans="1:13" x14ac:dyDescent="0.25">
      <c r="A556" s="14"/>
      <c r="B556" s="14"/>
      <c r="C556" s="1"/>
      <c r="D556" s="14"/>
      <c r="E556" s="1"/>
      <c r="I556" s="2">
        <f t="shared" si="9"/>
        <v>1557.3300000000038</v>
      </c>
      <c r="K556" s="2"/>
      <c r="L556" s="16"/>
      <c r="M556" s="17"/>
    </row>
    <row r="557" spans="1:13" x14ac:dyDescent="0.25">
      <c r="A557" s="14"/>
      <c r="B557" s="14"/>
      <c r="C557" s="1"/>
      <c r="D557" s="14"/>
      <c r="E557" s="1"/>
      <c r="I557" s="2">
        <f t="shared" si="9"/>
        <v>1557.3300000000038</v>
      </c>
      <c r="K557" s="2"/>
      <c r="L557" s="16"/>
      <c r="M557" s="17"/>
    </row>
    <row r="558" spans="1:13" x14ac:dyDescent="0.25">
      <c r="A558" s="14"/>
      <c r="B558" s="14"/>
      <c r="C558" s="1"/>
      <c r="D558" s="14"/>
      <c r="E558" s="1"/>
      <c r="I558" s="2">
        <f t="shared" si="9"/>
        <v>1557.3300000000038</v>
      </c>
      <c r="K558" s="2"/>
      <c r="L558" s="16"/>
      <c r="M558" s="17"/>
    </row>
    <row r="559" spans="1:13" x14ac:dyDescent="0.25">
      <c r="A559" s="14"/>
      <c r="B559" s="14"/>
      <c r="C559" s="1"/>
      <c r="D559" s="14"/>
      <c r="E559" s="1"/>
      <c r="I559" s="2">
        <f t="shared" si="9"/>
        <v>1557.3300000000038</v>
      </c>
      <c r="K559" s="2"/>
      <c r="L559" s="16"/>
      <c r="M559" s="17"/>
    </row>
    <row r="560" spans="1:13" x14ac:dyDescent="0.25">
      <c r="A560" s="14"/>
      <c r="B560" s="14"/>
      <c r="C560" s="1"/>
      <c r="D560" s="14"/>
      <c r="E560" s="1"/>
      <c r="I560" s="2">
        <f t="shared" si="9"/>
        <v>1557.3300000000038</v>
      </c>
      <c r="K560" s="2"/>
      <c r="L560" s="16"/>
      <c r="M560" s="17"/>
    </row>
    <row r="561" spans="1:13" x14ac:dyDescent="0.25">
      <c r="A561" s="14"/>
      <c r="B561" s="14"/>
      <c r="C561" s="1"/>
      <c r="D561" s="14"/>
      <c r="E561" s="1"/>
      <c r="I561" s="2">
        <f t="shared" si="9"/>
        <v>1557.3300000000038</v>
      </c>
      <c r="K561" s="2"/>
      <c r="L561" s="16"/>
      <c r="M561" s="17"/>
    </row>
    <row r="562" spans="1:13" x14ac:dyDescent="0.25">
      <c r="A562" s="14"/>
      <c r="B562" s="14"/>
      <c r="C562" s="1"/>
      <c r="D562" s="14"/>
      <c r="E562" s="1"/>
      <c r="I562" s="2">
        <f t="shared" si="9"/>
        <v>1557.3300000000038</v>
      </c>
      <c r="K562" s="2"/>
      <c r="L562" s="16"/>
      <c r="M562" s="17"/>
    </row>
    <row r="563" spans="1:13" x14ac:dyDescent="0.25">
      <c r="A563" s="14"/>
      <c r="B563" s="14"/>
      <c r="C563" s="1"/>
      <c r="D563" s="14"/>
      <c r="E563" s="1"/>
      <c r="I563" s="2">
        <f t="shared" si="9"/>
        <v>1557.3300000000038</v>
      </c>
      <c r="K563" s="2"/>
      <c r="L563" s="16"/>
      <c r="M563" s="17"/>
    </row>
    <row r="564" spans="1:13" x14ac:dyDescent="0.25">
      <c r="A564" s="14"/>
      <c r="B564" s="14"/>
      <c r="C564" s="1"/>
      <c r="D564" s="14"/>
      <c r="E564" s="1"/>
      <c r="I564" s="2">
        <f t="shared" si="9"/>
        <v>1557.3300000000038</v>
      </c>
      <c r="K564" s="2"/>
      <c r="L564" s="16"/>
      <c r="M564" s="17"/>
    </row>
    <row r="565" spans="1:13" x14ac:dyDescent="0.25">
      <c r="A565" s="14"/>
      <c r="B565" s="14"/>
      <c r="C565" s="1"/>
      <c r="D565" s="14"/>
      <c r="E565" s="1"/>
      <c r="I565" s="2">
        <f t="shared" si="9"/>
        <v>1557.3300000000038</v>
      </c>
      <c r="L565" s="2"/>
      <c r="M565" s="5"/>
    </row>
    <row r="566" spans="1:13" x14ac:dyDescent="0.25">
      <c r="A566" s="14"/>
      <c r="B566" s="14"/>
      <c r="C566" s="1"/>
      <c r="D566" s="14"/>
      <c r="E566" s="1"/>
      <c r="I566" s="2">
        <f t="shared" si="9"/>
        <v>1557.3300000000038</v>
      </c>
      <c r="L566" s="2"/>
      <c r="M566" s="5"/>
    </row>
    <row r="567" spans="1:13" x14ac:dyDescent="0.25">
      <c r="A567" s="14"/>
      <c r="B567" s="14"/>
      <c r="C567" s="1"/>
      <c r="D567" s="14"/>
      <c r="E567" s="1"/>
      <c r="I567" s="2">
        <f t="shared" si="9"/>
        <v>1557.3300000000038</v>
      </c>
      <c r="L567" s="2"/>
      <c r="M567" s="5"/>
    </row>
    <row r="568" spans="1:13" x14ac:dyDescent="0.25">
      <c r="A568" s="14"/>
      <c r="B568" s="14"/>
      <c r="C568" s="1"/>
      <c r="D568" s="14"/>
      <c r="E568" s="1"/>
      <c r="I568" s="2">
        <f t="shared" si="9"/>
        <v>1557.3300000000038</v>
      </c>
      <c r="L568" s="2"/>
      <c r="M568" s="5"/>
    </row>
    <row r="569" spans="1:13" x14ac:dyDescent="0.25">
      <c r="A569" s="14"/>
      <c r="B569" s="14"/>
      <c r="C569" s="1"/>
      <c r="D569" s="14"/>
      <c r="E569" s="1"/>
      <c r="I569" s="2">
        <f t="shared" si="9"/>
        <v>1557.3300000000038</v>
      </c>
      <c r="L569" s="2"/>
      <c r="M569" s="5"/>
    </row>
    <row r="570" spans="1:13" x14ac:dyDescent="0.25">
      <c r="A570" s="14"/>
      <c r="B570" s="14"/>
      <c r="C570" s="1"/>
      <c r="D570" s="14"/>
      <c r="E570" s="1"/>
      <c r="I570" s="2">
        <f t="shared" si="9"/>
        <v>1557.3300000000038</v>
      </c>
      <c r="L570" s="2"/>
      <c r="M570" s="5"/>
    </row>
    <row r="571" spans="1:13" x14ac:dyDescent="0.25">
      <c r="A571" s="14"/>
      <c r="B571" s="14"/>
      <c r="C571" s="1"/>
      <c r="D571" s="14"/>
      <c r="E571" s="1"/>
      <c r="I571" s="2">
        <f t="shared" si="9"/>
        <v>1557.3300000000038</v>
      </c>
      <c r="L571" s="2"/>
      <c r="M571" s="5"/>
    </row>
    <row r="572" spans="1:13" x14ac:dyDescent="0.25">
      <c r="A572" s="14"/>
      <c r="B572" s="14"/>
      <c r="C572" s="1"/>
      <c r="D572" s="14"/>
      <c r="E572" s="1"/>
      <c r="I572" s="2">
        <f t="shared" si="9"/>
        <v>1557.3300000000038</v>
      </c>
      <c r="L572" s="2"/>
      <c r="M572" s="5"/>
    </row>
    <row r="573" spans="1:13" x14ac:dyDescent="0.25">
      <c r="A573" s="14"/>
      <c r="B573" s="14"/>
      <c r="C573" s="1"/>
      <c r="D573" s="14"/>
      <c r="E573" s="1"/>
      <c r="I573" s="2">
        <f t="shared" si="9"/>
        <v>1557.3300000000038</v>
      </c>
      <c r="L573" s="2"/>
      <c r="M573" s="5"/>
    </row>
    <row r="574" spans="1:13" x14ac:dyDescent="0.25">
      <c r="A574" s="14"/>
      <c r="B574" s="14"/>
      <c r="C574" s="1"/>
      <c r="D574" s="14"/>
      <c r="E574" s="1"/>
      <c r="I574" s="2">
        <f t="shared" si="9"/>
        <v>1557.3300000000038</v>
      </c>
      <c r="L574" s="2"/>
      <c r="M574" s="5"/>
    </row>
    <row r="575" spans="1:13" x14ac:dyDescent="0.25">
      <c r="A575" s="14"/>
      <c r="B575" s="14"/>
      <c r="C575" s="1"/>
      <c r="D575" s="14"/>
      <c r="E575" s="1"/>
      <c r="I575" s="2">
        <f t="shared" si="9"/>
        <v>1557.3300000000038</v>
      </c>
      <c r="L575" s="2"/>
      <c r="M575" s="5"/>
    </row>
    <row r="576" spans="1:13" x14ac:dyDescent="0.25">
      <c r="A576" s="14"/>
      <c r="B576" s="14"/>
      <c r="C576" s="1"/>
      <c r="D576" s="14"/>
      <c r="E576" s="1"/>
      <c r="I576" s="2">
        <f t="shared" si="9"/>
        <v>1557.3300000000038</v>
      </c>
      <c r="L576" s="2"/>
      <c r="M576" s="5"/>
    </row>
    <row r="577" spans="1:13" x14ac:dyDescent="0.25">
      <c r="A577" s="14"/>
      <c r="B577" s="14"/>
      <c r="C577" s="1"/>
      <c r="D577" s="14"/>
      <c r="E577" s="1"/>
      <c r="I577" s="2">
        <f t="shared" si="9"/>
        <v>1557.3300000000038</v>
      </c>
      <c r="L577" s="2"/>
      <c r="M577" s="5"/>
    </row>
    <row r="578" spans="1:13" x14ac:dyDescent="0.25">
      <c r="A578" s="14"/>
      <c r="B578" s="14"/>
      <c r="C578" s="1"/>
      <c r="D578" s="14"/>
      <c r="E578" s="1"/>
      <c r="I578" s="2">
        <f t="shared" si="9"/>
        <v>1557.3300000000038</v>
      </c>
      <c r="L578" s="2"/>
      <c r="M578" s="5"/>
    </row>
    <row r="579" spans="1:13" x14ac:dyDescent="0.25">
      <c r="A579" s="14"/>
      <c r="B579" s="14"/>
      <c r="C579" s="1"/>
      <c r="D579" s="14"/>
      <c r="E579" s="1"/>
      <c r="I579" s="2">
        <f t="shared" si="9"/>
        <v>1557.3300000000038</v>
      </c>
      <c r="L579" s="2"/>
      <c r="M579" s="5"/>
    </row>
    <row r="580" spans="1:13" x14ac:dyDescent="0.25">
      <c r="A580" s="14"/>
      <c r="B580" s="14"/>
      <c r="C580" s="1"/>
      <c r="D580" s="14"/>
      <c r="E580" s="1"/>
      <c r="I580" s="2">
        <f t="shared" si="9"/>
        <v>1557.3300000000038</v>
      </c>
      <c r="L580" s="2"/>
      <c r="M580" s="5"/>
    </row>
    <row r="581" spans="1:13" x14ac:dyDescent="0.25">
      <c r="A581" s="14"/>
      <c r="B581" s="14"/>
      <c r="C581" s="1"/>
      <c r="E581" s="1"/>
      <c r="I581" s="2">
        <f t="shared" si="9"/>
        <v>1557.3300000000038</v>
      </c>
      <c r="L581" s="2"/>
      <c r="M581" s="5"/>
    </row>
    <row r="582" spans="1:13" x14ac:dyDescent="0.25">
      <c r="A582">
        <f>MAX(A3:A581)+MAX(B3:B581)</f>
        <v>523</v>
      </c>
      <c r="B582">
        <f>COUNT(F:F)+COUNT(G:G)</f>
        <v>523</v>
      </c>
    </row>
  </sheetData>
  <conditionalFormatting sqref="A1:I97 B98:I105 B113:H118 A98:A118 A119:H581 I106:I581">
    <cfRule type="expression" dxfId="1" priority="2">
      <formula>MOD(ROW(),2)=1</formula>
    </cfRule>
  </conditionalFormatting>
  <conditionalFormatting sqref="B106:H112">
    <cfRule type="expression" dxfId="0" priority="1">
      <formula>MOD(ROW(),2)=1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Earvin Tio</dc:creator>
  <cp:lastModifiedBy>Earvin Tio</cp:lastModifiedBy>
  <dcterms:created xsi:type="dcterms:W3CDTF">2017-09-06T18:46:15Z</dcterms:created>
  <dcterms:modified xsi:type="dcterms:W3CDTF">2018-08-22T22:51:14Z</dcterms:modified>
</cp:coreProperties>
</file>